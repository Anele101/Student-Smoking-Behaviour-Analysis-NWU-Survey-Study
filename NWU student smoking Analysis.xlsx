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pivotCache/pivotCacheDefinition5.xml" ContentType="application/vnd.openxmlformats-officedocument.spreadsheetml.pivotCacheDefinition+xml"/>
  <Override PartName="/xl/pivotCache/pivotCacheRecords5.xml" ContentType="application/vnd.openxmlformats-officedocument.spreadsheetml.pivotCacheRecords+xml"/>
  <Override PartName="/xl/pivotCache/pivotCacheDefinition6.xml" ContentType="application/vnd.openxmlformats-officedocument.spreadsheetml.pivotCacheDefinition+xml"/>
  <Override PartName="/xl/pivotCache/pivotCacheRecords6.xml" ContentType="application/vnd.openxmlformats-officedocument.spreadsheetml.pivotCacheRecords+xml"/>
  <Override PartName="/xl/pivotCache/pivotCacheDefinition7.xml" ContentType="application/vnd.openxmlformats-officedocument.spreadsheetml.pivotCacheDefinition+xml"/>
  <Override PartName="/xl/pivotCache/pivotCacheRecords7.xml" ContentType="application/vnd.openxmlformats-officedocument.spreadsheetml.pivotCacheRecords+xml"/>
  <Override PartName="/xl/pivotCache/pivotCacheDefinition8.xml" ContentType="application/vnd.openxmlformats-officedocument.spreadsheetml.pivotCacheDefinition+xml"/>
  <Override PartName="/xl/pivotCache/pivotCacheRecords8.xml" ContentType="application/vnd.openxmlformats-officedocument.spreadsheetml.pivotCacheRecords+xml"/>
  <Override PartName="/xl/pivotCache/pivotCacheDefinition9.xml" ContentType="application/vnd.openxmlformats-officedocument.spreadsheetml.pivotCacheDefinition+xml"/>
  <Override PartName="/xl/pivotCache/pivotCacheRecords9.xml" ContentType="application/vnd.openxmlformats-officedocument.spreadsheetml.pivotCacheRecords+xml"/>
  <Override PartName="/xl/pivotCache/pivotCacheDefinition10.xml" ContentType="application/vnd.openxmlformats-officedocument.spreadsheetml.pivotCacheDefinition+xml"/>
  <Override PartName="/xl/pivotCache/pivotCacheRecords10.xml" ContentType="application/vnd.openxmlformats-officedocument.spreadsheetml.pivotCacheRecords+xml"/>
  <Override PartName="/xl/pivotCache/pivotCacheDefinition11.xml" ContentType="application/vnd.openxmlformats-officedocument.spreadsheetml.pivotCacheDefinition+xml"/>
  <Override PartName="/xl/pivotCache/pivotCacheRecords11.xml" ContentType="application/vnd.openxmlformats-officedocument.spreadsheetml.pivotCacheRecords+xml"/>
  <Override PartName="/xl/pivotCache/pivotCacheDefinition12.xml" ContentType="application/vnd.openxmlformats-officedocument.spreadsheetml.pivotCacheDefinition+xml"/>
  <Override PartName="/xl/pivotCache/pivotCacheRecords12.xml" ContentType="application/vnd.openxmlformats-officedocument.spreadsheetml.pivotCacheRecords+xml"/>
  <Override PartName="/xl/pivotCache/pivotCacheDefinition13.xml" ContentType="application/vnd.openxmlformats-officedocument.spreadsheetml.pivotCacheDefinition+xml"/>
  <Override PartName="/xl/pivotCache/pivotCacheRecords13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pivotTables/pivotTable12.xml" ContentType="application/vnd.openxmlformats-officedocument.spreadsheetml.pivotTable+xml"/>
  <Override PartName="/xl/pivotTables/pivotTable13.xml" ContentType="application/vnd.openxmlformats-officedocument.spreadsheetml.pivotTable+xml"/>
  <Override PartName="/xl/pivotTables/pivotTable14.xml" ContentType="application/vnd.openxmlformats-officedocument.spreadsheetml.pivotTable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pivotTables/pivotTable15.xml" ContentType="application/vnd.openxmlformats-officedocument.spreadsheetml.pivotTable+xml"/>
  <Override PartName="/xl/pivotTables/pivotTable16.xml" ContentType="application/vnd.openxmlformats-officedocument.spreadsheetml.pivotTable+xml"/>
  <Override PartName="/xl/pivotTables/pivotTable17.xml" ContentType="application/vnd.openxmlformats-officedocument.spreadsheetml.pivotTable+xml"/>
  <Override PartName="/xl/pivotTables/pivotTable18.xml" ContentType="application/vnd.openxmlformats-officedocument.spreadsheetml.pivotTable+xml"/>
  <Override PartName="/xl/pivotTables/pivotTable19.xml" ContentType="application/vnd.openxmlformats-officedocument.spreadsheetml.pivotTable+xml"/>
  <Override PartName="/xl/drawings/drawing3.xml" ContentType="application/vnd.openxmlformats-officedocument.drawing+xml"/>
  <Override PartName="/xl/tables/table2.xml" ContentType="application/vnd.openxmlformats-officedocument.spreadsheetml.table+xml"/>
  <Override PartName="/xl/comments2.xml" ContentType="application/vnd.openxmlformats-officedocument.spreadsheetml.comments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drawings/drawing4.xml" ContentType="application/vnd.openxmlformats-officedocument.drawing+xml"/>
  <Override PartName="/xl/tables/table3.xml" ContentType="application/vnd.openxmlformats-officedocument.spreadsheetml.table+xml"/>
  <Override PartName="/xl/comments3.xml" ContentType="application/vnd.openxmlformats-officedocument.spreadsheetml.comments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charts/chart19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charts/chart20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charts/chart21.xml" ContentType="application/vnd.openxmlformats-officedocument.drawingml.chart+xml"/>
  <Override PartName="/xl/charts/style21.xml" ContentType="application/vnd.ms-office.chartstyle+xml"/>
  <Override PartName="/xl/charts/colors21.xml" ContentType="application/vnd.ms-office.chartcolorstyle+xml"/>
  <Override PartName="/xl/drawings/drawing5.xml" ContentType="application/vnd.openxmlformats-officedocument.drawing+xml"/>
  <Override PartName="/xl/charts/chart22.xml" ContentType="application/vnd.openxmlformats-officedocument.drawingml.chart+xml"/>
  <Override PartName="/xl/charts/style22.xml" ContentType="application/vnd.ms-office.chartstyle+xml"/>
  <Override PartName="/xl/charts/colors2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  <Override PartName="/xl/threadedComments/threadedComment1.xml" ContentType="application/vnd.ms-excel.threadedcomments+xml"/>
  <Override PartName="/xl/threadedComments/threadedComment2.xml" ContentType="application/vnd.ms-excel.threadedcomments+xml"/>
  <Override PartName="/xl/threadedComments/threadedComment3.xml" ContentType="application/vnd.ms-excel.threadedcomment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49716689\Downloads\"/>
    </mc:Choice>
  </mc:AlternateContent>
  <xr:revisionPtr revIDLastSave="0" documentId="13_ncr:1_{72BAE4D6-175C-4543-8ED0-5646F1503B3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Data" sheetId="1" r:id="rId1"/>
    <sheet name="Demographic Data" sheetId="5" r:id="rId2"/>
    <sheet name="Smokers VS Non-smokers" sheetId="2" r:id="rId3"/>
    <sheet name="Smokers" sheetId="3" r:id="rId4"/>
    <sheet name="Non-Smokers" sheetId="4" r:id="rId5"/>
    <sheet name="Awareness" sheetId="6" r:id="rId6"/>
  </sheets>
  <calcPr calcId="191029"/>
  <pivotCaches>
    <pivotCache cacheId="0" r:id="rId7"/>
    <pivotCache cacheId="1" r:id="rId8"/>
    <pivotCache cacheId="2" r:id="rId9"/>
    <pivotCache cacheId="3" r:id="rId10"/>
    <pivotCache cacheId="4" r:id="rId11"/>
    <pivotCache cacheId="5" r:id="rId12"/>
    <pivotCache cacheId="6" r:id="rId13"/>
    <pivotCache cacheId="7" r:id="rId14"/>
    <pivotCache cacheId="8" r:id="rId15"/>
    <pivotCache cacheId="9" r:id="rId16"/>
    <pivotCache cacheId="10" r:id="rId17"/>
    <pivotCache cacheId="11" r:id="rId18"/>
    <pivotCache cacheId="12" r:id="rId19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R2" i="4" l="1"/>
  <c r="R3" i="4"/>
  <c r="R4" i="4"/>
  <c r="R5" i="4"/>
  <c r="R6" i="4"/>
  <c r="R7" i="4"/>
  <c r="R8" i="4"/>
  <c r="R9" i="4"/>
  <c r="R10" i="4"/>
  <c r="R11" i="4"/>
  <c r="R12" i="4"/>
  <c r="R13" i="4"/>
  <c r="R14" i="4"/>
  <c r="R15" i="4"/>
  <c r="R16" i="4"/>
  <c r="R17" i="4"/>
  <c r="R18" i="4"/>
  <c r="R19" i="4"/>
  <c r="R20" i="4"/>
  <c r="R21" i="4"/>
  <c r="C51" i="3" l="1"/>
  <c r="M47" i="3"/>
  <c r="L47" i="3"/>
  <c r="M46" i="3"/>
  <c r="M45" i="3"/>
  <c r="L46" i="3"/>
  <c r="L45" i="3"/>
  <c r="C57" i="3"/>
  <c r="C49" i="3"/>
  <c r="C50" i="3"/>
  <c r="C60" i="3"/>
  <c r="C59" i="3"/>
  <c r="C58" i="3"/>
  <c r="AA2" i="1"/>
  <c r="AA3" i="1"/>
  <c r="AA4" i="1"/>
  <c r="AA5" i="1"/>
  <c r="AA6" i="1"/>
  <c r="AA7" i="1"/>
  <c r="AA8" i="1"/>
  <c r="AA9" i="1"/>
  <c r="AA10" i="1"/>
  <c r="AA11" i="1"/>
  <c r="AA12" i="1"/>
  <c r="AA13" i="1"/>
  <c r="AA14" i="1"/>
  <c r="AA15" i="1"/>
  <c r="AA16" i="1"/>
  <c r="AA17" i="1"/>
  <c r="AA18" i="1"/>
  <c r="AA19" i="1"/>
  <c r="AA20" i="1"/>
  <c r="AA21" i="1"/>
  <c r="AA22" i="1"/>
  <c r="AA23" i="1"/>
  <c r="AA24" i="1"/>
  <c r="AA25" i="1"/>
  <c r="AA26" i="1"/>
  <c r="AA27" i="1"/>
  <c r="AA28" i="1"/>
  <c r="AA29" i="1"/>
  <c r="AA30" i="1"/>
  <c r="AA31" i="1"/>
  <c r="AA32" i="1"/>
  <c r="C68" i="4" l="1"/>
  <c r="D68" i="4"/>
  <c r="D67" i="4"/>
  <c r="C67" i="4"/>
  <c r="D66" i="4"/>
  <c r="C66" i="4"/>
  <c r="D65" i="4"/>
  <c r="C65" i="4"/>
  <c r="C64" i="4"/>
  <c r="D63" i="4"/>
  <c r="C63" i="4"/>
  <c r="B68" i="4"/>
  <c r="B67" i="4"/>
  <c r="B66" i="4"/>
  <c r="B65" i="4"/>
  <c r="D64" i="4"/>
  <c r="B64" i="4"/>
  <c r="B63" i="4"/>
  <c r="C25" i="4"/>
  <c r="C26" i="4"/>
  <c r="C27" i="4"/>
  <c r="C28" i="4"/>
  <c r="C29" i="4"/>
  <c r="C30" i="4"/>
  <c r="D25" i="4"/>
  <c r="D26" i="4"/>
  <c r="D27" i="4"/>
  <c r="D28" i="4"/>
  <c r="E25" i="4"/>
  <c r="E26" i="4"/>
  <c r="E27" i="4"/>
  <c r="E28" i="4"/>
  <c r="E29" i="4"/>
  <c r="E30" i="4"/>
  <c r="D30" i="4"/>
  <c r="D29" i="4"/>
  <c r="B30" i="4"/>
  <c r="B29" i="4"/>
  <c r="B28" i="4"/>
  <c r="B27" i="4"/>
  <c r="B26" i="4"/>
  <c r="B25" i="4"/>
  <c r="Y5" i="3" l="1"/>
  <c r="Y2" i="3"/>
  <c r="Y3" i="3"/>
  <c r="Y4" i="3"/>
  <c r="Y6" i="3"/>
  <c r="Y7" i="3"/>
  <c r="Y8" i="3"/>
  <c r="Y9" i="3"/>
  <c r="Y10" i="3"/>
  <c r="Y11" i="3"/>
  <c r="Y12" i="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tc={A4521862-9DBF-D942-A6E1-E237834E37FF}</author>
    <author>SYSTEM</author>
    <author>tc={EF65EA71-1229-8C4E-A46F-4201BBC5235E}</author>
    <author>tc={BD0FE5C0-3A1B-7A4B-B839-22E0CAEA34D7}</author>
    <author>tc={9C107A1A-CB1D-5D45-90BC-340EFCB27339}</author>
    <author>tc={211865E2-24B1-7C40-9A9D-BE200CA32F0F}</author>
    <author>tc={4C6152CE-526D-CB41-BD8A-7D080D03B18B}</author>
    <author>tc={A574643B-B826-304E-94EA-EEF8CED3EDB7}</author>
    <author>tc={61B774D0-0720-A342-B2F2-40A92F9F1D7D}</author>
  </authors>
  <commentList>
    <comment ref="F1" authorId="0" shapeId="0" xr:uid="{A4521862-9DBF-D942-A6E1-E237834E37FF}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1 : Male
2 : Female
3 : Non-Binary</t>
        </r>
      </text>
    </comment>
    <comment ref="J1" authorId="1" shapeId="0" xr:uid="{1CB3E5DE-ADCF-4E7D-B78A-8A6CAC83414C}">
      <text>
        <r>
          <rPr>
            <b/>
            <sz val="9"/>
            <color indexed="81"/>
            <rFont val="Tahoma"/>
            <charset val="1"/>
          </rPr>
          <t>SYSTEM:</t>
        </r>
        <r>
          <rPr>
            <sz val="9"/>
            <color indexed="81"/>
            <rFont val="Tahoma"/>
            <charset val="1"/>
          </rPr>
          <t xml:space="preserve">
1 : Very Well
2 : Somewhat
3 : Neutral
4 : Not so well
5 : Not at all</t>
        </r>
      </text>
    </comment>
    <comment ref="K1" authorId="2" shapeId="0" xr:uid="{EF65EA71-1229-8C4E-A46F-4201BBC5235E}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1 : Yes
2 : No</t>
        </r>
      </text>
    </comment>
    <comment ref="L1" authorId="3" shapeId="0" xr:uid="{BD0FE5C0-3A1B-7A4B-B839-22E0CAEA34D7}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1 : Yes
2 : No</t>
        </r>
      </text>
    </comment>
    <comment ref="M1" authorId="4" shapeId="0" xr:uid="{9C107A1A-CB1D-5D45-90BC-340EFCB27339}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1 : Yes
2 : No</t>
        </r>
      </text>
    </comment>
    <comment ref="N1" authorId="5" shapeId="0" xr:uid="{211865E2-24B1-7C40-9A9D-BE200CA32F0F}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1 : Yes
0 : No</t>
        </r>
      </text>
    </comment>
    <comment ref="O1" authorId="6" shapeId="0" xr:uid="{4C6152CE-526D-CB41-BD8A-7D080D03B18B}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1 : Yes
0 : No</t>
        </r>
      </text>
    </comment>
    <comment ref="P1" authorId="7" shapeId="0" xr:uid="{A574643B-B826-304E-94EA-EEF8CED3EDB7}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1 : Yes
0 : No</t>
        </r>
      </text>
    </comment>
    <comment ref="Q1" authorId="8" shapeId="0" xr:uid="{61B774D0-0720-A342-B2F2-40A92F9F1D7D}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1 : Yes
0 : No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tc={B1E8DC16-954D-3D4C-9BB6-6E18CD9275A9}</author>
    <author>tc={8F4EF851-B0A6-EE4C-8659-3E32F6E1FF37}</author>
    <author>tc={F2490F4A-9AFF-5D4F-BB90-5C77F4DE8439}</author>
    <author>tc={F8C65867-9E6D-D241-AAE1-8446F02C1FD3}</author>
    <author>tc={E69C6D34-EE97-D046-BF97-7C84A4523D99}</author>
    <author>tc={7EA897B5-3B5B-8748-AE64-1625CE4BE053}</author>
    <author>tc={7727A185-0148-5940-84E1-AACA74C84C78}</author>
    <author>tc={90CF0BBE-C50D-E64F-BD2F-D7485E29B89E}</author>
  </authors>
  <commentList>
    <comment ref="G1" authorId="0" shapeId="0" xr:uid="{B1E8DC16-954D-3D4C-9BB6-6E18CD9275A9}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1 : Male
2 : Female
3 : Non-Binary</t>
        </r>
      </text>
    </comment>
    <comment ref="L1" authorId="1" shapeId="0" xr:uid="{8F4EF851-B0A6-EE4C-8659-3E32F6E1FF37}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1 : Yes
2 : No</t>
        </r>
      </text>
    </comment>
    <comment ref="M1" authorId="2" shapeId="0" xr:uid="{F2490F4A-9AFF-5D4F-BB90-5C77F4DE8439}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1 : Yes
2 : No</t>
        </r>
      </text>
    </comment>
    <comment ref="N1" authorId="3" shapeId="0" xr:uid="{F8C65867-9E6D-D241-AAE1-8446F02C1FD3}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1 : Yes
2 : No</t>
        </r>
      </text>
    </comment>
    <comment ref="O1" authorId="4" shapeId="0" xr:uid="{E69C6D34-EE97-D046-BF97-7C84A4523D99}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1 : Yes
0 : No</t>
        </r>
      </text>
    </comment>
    <comment ref="P1" authorId="5" shapeId="0" xr:uid="{7EA897B5-3B5B-8748-AE64-1625CE4BE053}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1 : Yes
0 : No</t>
        </r>
      </text>
    </comment>
    <comment ref="Q1" authorId="6" shapeId="0" xr:uid="{7727A185-0148-5940-84E1-AACA74C84C78}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1 : Yes
0 : No</t>
        </r>
      </text>
    </comment>
    <comment ref="R1" authorId="7" shapeId="0" xr:uid="{90CF0BBE-C50D-E64F-BD2F-D7485E29B89E}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1 : Yes
0 : No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tc={A4521862-9DBF-D943-A6E1-E237834E37FF}</author>
    <author>SYSTEM</author>
    <author>tc={EF65EA71-1229-8C4F-A46F-4201BBC5235E}</author>
    <author>tc={BD0FE5C0-3A1B-7A4C-B839-22E0CAEA34D7}</author>
    <author>tc={9C107A1A-CB1D-5D46-90BC-340EFCB27339}</author>
    <author>tc={211865E2-24B1-7C41-9A9D-BE200CA32F0F}</author>
    <author>tc={4C6152CE-526D-CB42-BD8A-7D080D03B18B}</author>
    <author>tc={A574643B-B826-304F-94EA-EEF8CED3EDB7}</author>
    <author>tc={61B774D0-0720-A343-B2F2-40A92F9F1D7D}</author>
  </authors>
  <commentList>
    <comment ref="C1" authorId="0" shapeId="0" xr:uid="{285FC38A-F874-4625-A992-D93F10BBB7A3}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1 : Male
2 : Female
3 : Non-Binary</t>
        </r>
      </text>
    </comment>
    <comment ref="G1" authorId="1" shapeId="0" xr:uid="{885AA025-A33B-4DD7-B933-4E138C130A40}">
      <text>
        <r>
          <rPr>
            <b/>
            <sz val="9"/>
            <color indexed="81"/>
            <rFont val="Tahoma"/>
            <charset val="1"/>
          </rPr>
          <t>SYSTEM:</t>
        </r>
        <r>
          <rPr>
            <sz val="9"/>
            <color indexed="81"/>
            <rFont val="Tahoma"/>
            <charset val="1"/>
          </rPr>
          <t xml:space="preserve">
1 : Very Well
2 : Somewhat
3 : Neutral
4 : Not so well
5 : Not at all</t>
        </r>
      </text>
    </comment>
    <comment ref="H1" authorId="2" shapeId="0" xr:uid="{D17595C4-AE7A-4AE7-9DCB-C0F77F6B5C4E}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1 : Yes
2 : No</t>
        </r>
      </text>
    </comment>
    <comment ref="I1" authorId="3" shapeId="0" xr:uid="{5E9C55C1-2027-4717-8A78-1EC5F91C7382}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1 : Yes
2 : No</t>
        </r>
      </text>
    </comment>
    <comment ref="J1" authorId="4" shapeId="0" xr:uid="{581733BB-1F38-4E48-9D83-FE7F0D6004A7}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1 : Yes
2 : No</t>
        </r>
      </text>
    </comment>
    <comment ref="K1" authorId="5" shapeId="0" xr:uid="{7BD7FBD6-BC42-437A-B41B-5EDFE3AE5682}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1 : Yes
0 : No</t>
        </r>
      </text>
    </comment>
    <comment ref="L1" authorId="6" shapeId="0" xr:uid="{E73FAFC9-122E-4EB9-8E74-9DB16DFB5603}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1 : Yes
0 : No</t>
        </r>
      </text>
    </comment>
    <comment ref="M1" authorId="7" shapeId="0" xr:uid="{357D7B1E-6847-4CF6-8C28-8A4F2E9DE83A}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1 : Yes
0 : No</t>
        </r>
      </text>
    </comment>
    <comment ref="N1" authorId="8" shapeId="0" xr:uid="{D7DE367D-C2F8-4D49-834A-F574BE2B97DE}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1 : Yes
0 : No</t>
        </r>
      </text>
    </comment>
  </commentList>
</comments>
</file>

<file path=xl/sharedStrings.xml><?xml version="1.0" encoding="utf-8"?>
<sst xmlns="http://schemas.openxmlformats.org/spreadsheetml/2006/main" count="687" uniqueCount="158">
  <si>
    <t>ID</t>
  </si>
  <si>
    <t>Start time</t>
  </si>
  <si>
    <t>Completion time</t>
  </si>
  <si>
    <t>Email</t>
  </si>
  <si>
    <t>Name</t>
  </si>
  <si>
    <t>Last modified time</t>
  </si>
  <si>
    <t>What is your gender?</t>
  </si>
  <si>
    <t>How old are you?</t>
  </si>
  <si>
    <t>Faculty</t>
  </si>
  <si>
    <t>What year of study are you in?</t>
  </si>
  <si>
    <t>Rate your knowledge</t>
  </si>
  <si>
    <t>Fertility Issues</t>
  </si>
  <si>
    <t>Lung, Mouth and Throat Cancer</t>
  </si>
  <si>
    <t>Erectile Dysfunction</t>
  </si>
  <si>
    <t>Cardiovascular Disease</t>
  </si>
  <si>
    <t>Respiratory Illnesses </t>
  </si>
  <si>
    <t>Type 2 Diabetes</t>
  </si>
  <si>
    <t>Do you smoke?</t>
  </si>
  <si>
    <t>How Often?</t>
  </si>
  <si>
    <t>How many joints or cigarettes do you smoke on average a day?</t>
  </si>
  <si>
    <t>Type of product</t>
  </si>
  <si>
    <t>For how long have you been smoking?</t>
  </si>
  <si>
    <t>Why did you start</t>
  </si>
  <si>
    <t>Why do you continue smoking?</t>
  </si>
  <si>
    <t>Why don't you smoke?</t>
  </si>
  <si>
    <t>Have you tried it before</t>
  </si>
  <si>
    <t>Would you try it?</t>
  </si>
  <si>
    <t>anonymous</t>
  </si>
  <si>
    <t>Faculty of Natural and Agricultural Sciences</t>
  </si>
  <si>
    <t>4th year</t>
  </si>
  <si>
    <t>Yes</t>
  </si>
  <si>
    <t>No</t>
  </si>
  <si>
    <t>Weekly</t>
  </si>
  <si>
    <t>Hubbly;Vape;Cigarettes;Marijuana;</t>
  </si>
  <si>
    <t>More than 2 years</t>
  </si>
  <si>
    <t>Learnt from family members;Stress ;Other;</t>
  </si>
  <si>
    <t>I find pleasure in it</t>
  </si>
  <si>
    <t>Faculty of Economics and Management Sciences </t>
  </si>
  <si>
    <t>Faculty of Humanities</t>
  </si>
  <si>
    <t>2nd year</t>
  </si>
  <si>
    <t>Marijuana;</t>
  </si>
  <si>
    <t>0 - 6 months</t>
  </si>
  <si>
    <t>Stress ;</t>
  </si>
  <si>
    <t>It calms me down;</t>
  </si>
  <si>
    <t>Faculty of Law</t>
  </si>
  <si>
    <t>3rd year </t>
  </si>
  <si>
    <t>Daily</t>
  </si>
  <si>
    <t>Cigarettes;</t>
  </si>
  <si>
    <t>Other;</t>
  </si>
  <si>
    <t>It's not my cup of tea;</t>
  </si>
  <si>
    <t>Faculty of Theology</t>
  </si>
  <si>
    <t>Faculty of Education</t>
  </si>
  <si>
    <t>It destroys the body;It's a financial liability (every cent counts);Health Issues;</t>
  </si>
  <si>
    <t>1st year</t>
  </si>
  <si>
    <t>Maybe</t>
  </si>
  <si>
    <t>Marijuana;Vape;Cigarettes;</t>
  </si>
  <si>
    <t>Occassionally</t>
  </si>
  <si>
    <t>Cigarettes;Vape;</t>
  </si>
  <si>
    <t>Relief from Psychological Issues;</t>
  </si>
  <si>
    <t>I find pleasure in it;</t>
  </si>
  <si>
    <t>Societal Standards;Health Issues;It destroys the body;It's not my cup of tea;</t>
  </si>
  <si>
    <t>It's not my cup of tea;Health Issues;It destroys the body;Societal Standards;</t>
  </si>
  <si>
    <t>Health Issues;It destroys the body;It's not my cup of tea;</t>
  </si>
  <si>
    <t>Faculty of Health Sciences </t>
  </si>
  <si>
    <t>I just haven't tried it yet;It's not my cup of tea;Health Issues ;</t>
  </si>
  <si>
    <t>Vape;Cigarettes;</t>
  </si>
  <si>
    <t>7 - 12 months</t>
  </si>
  <si>
    <t>I find pleasure in it;It calms me down;</t>
  </si>
  <si>
    <t>Relief from Psychological Issues;Other;</t>
  </si>
  <si>
    <t>It calms me down;It's become a force of habit;I find pleasure in it;</t>
  </si>
  <si>
    <t>It's not my cup of tea;It destroys the body;</t>
  </si>
  <si>
    <t>It's became a force of habit</t>
  </si>
  <si>
    <t>Count of Do you smoke?</t>
  </si>
  <si>
    <t>Column Labels</t>
  </si>
  <si>
    <t>Grand Total</t>
  </si>
  <si>
    <t>Row Labels</t>
  </si>
  <si>
    <t>Feculty</t>
  </si>
  <si>
    <t>Negative Health effect knowledge</t>
  </si>
  <si>
    <t>How many joints or cigarettes do you smoke on average a day?2</t>
  </si>
  <si>
    <t>Male</t>
  </si>
  <si>
    <t>Count of What is your gender?</t>
  </si>
  <si>
    <t>Females</t>
  </si>
  <si>
    <t>Non-Binary</t>
  </si>
  <si>
    <t>Very Well</t>
  </si>
  <si>
    <t>Somewhat</t>
  </si>
  <si>
    <t>Nuetral</t>
  </si>
  <si>
    <t>It destroys the body;Societal Standards;Health Issues;It's not my cup of tea;It's a financial liability (every cent counts); It smells bad;</t>
  </si>
  <si>
    <t>It's a financial liability (every cent counts); Health Issues;</t>
  </si>
  <si>
    <t>It's not my cup of tea; I don't want that lifestyle;</t>
  </si>
  <si>
    <t>It's become a force of habit;I struggle with quitting;It calms me down;I find pleasure in it;Social Influence;</t>
  </si>
  <si>
    <t>Problems ;</t>
  </si>
  <si>
    <t>It destroys the body;It's not my cup of tea;</t>
  </si>
  <si>
    <t xml:space="preserve">Societal Standards;I just haven't tried it yet; </t>
  </si>
  <si>
    <t>It destroys the body; It's a financial liability (every cent counts);Health Issues ;It's not my cup of tea;</t>
  </si>
  <si>
    <t>It's become a force of habit;</t>
  </si>
  <si>
    <t>It's not my cup of tea;It destroys the body</t>
  </si>
  <si>
    <t>Health Issues;It's not my cup of tea;It destroys the body</t>
  </si>
  <si>
    <t xml:space="preserve">3rd year </t>
  </si>
  <si>
    <t>5/4/2025 17:33</t>
  </si>
  <si>
    <t>5/4/2025 17:35</t>
  </si>
  <si>
    <t>5/4/2025 18:24</t>
  </si>
  <si>
    <t>5/4/2025 18:25</t>
  </si>
  <si>
    <t>It's not my cup of tea</t>
  </si>
  <si>
    <t>It destroys the body</t>
  </si>
  <si>
    <t>Societal Standards</t>
  </si>
  <si>
    <t>Existing Health Issues</t>
  </si>
  <si>
    <t>It's a financial liability</t>
  </si>
  <si>
    <t>It smells bad</t>
  </si>
  <si>
    <t>Would you try</t>
  </si>
  <si>
    <t>Count</t>
  </si>
  <si>
    <t>Have you tried before</t>
  </si>
  <si>
    <t>It calms me down</t>
  </si>
  <si>
    <t>Learnt from family members</t>
  </si>
  <si>
    <t>Relief from Psychological Issues</t>
  </si>
  <si>
    <t>Stress</t>
  </si>
  <si>
    <t>How many joints or cigarets a day on average</t>
  </si>
  <si>
    <t>It's become a force of habit</t>
  </si>
  <si>
    <t>Female</t>
  </si>
  <si>
    <t>What was your gateway drug?</t>
  </si>
  <si>
    <t>Marijuana</t>
  </si>
  <si>
    <t>Cigarettes</t>
  </si>
  <si>
    <t>Other(Curiosity, positive perception of smoking)</t>
  </si>
  <si>
    <t>Selected negative Health effect knowledge</t>
  </si>
  <si>
    <t>Count of What was your gateway drug?</t>
  </si>
  <si>
    <t>A.Ngubane</t>
  </si>
  <si>
    <t>J.Booi</t>
  </si>
  <si>
    <t>Average of How many joints or cigarettes do you smoke on average a day?</t>
  </si>
  <si>
    <t>Average of How many joints or cigarettes do you smoke on average a day?2</t>
  </si>
  <si>
    <t>Average of Negative Health effect knowledge</t>
  </si>
  <si>
    <t>Smokers</t>
  </si>
  <si>
    <t>Non-Smokers</t>
  </si>
  <si>
    <t>18-22</t>
  </si>
  <si>
    <t>23-27</t>
  </si>
  <si>
    <t>28-32</t>
  </si>
  <si>
    <t>Count of How old are you?</t>
  </si>
  <si>
    <t>Count of Faculty</t>
  </si>
  <si>
    <t>Count of What year of study are you in?</t>
  </si>
  <si>
    <t>It's become a force of habit; I truggle with quitting,; It calms me down</t>
  </si>
  <si>
    <t>Problems;</t>
  </si>
  <si>
    <t>I struggle to quit</t>
  </si>
  <si>
    <t>Problems</t>
  </si>
  <si>
    <t>Monthly</t>
  </si>
  <si>
    <t>2. Which Gender Knows more of each risk</t>
  </si>
  <si>
    <t>Sum of Fertility Issues</t>
  </si>
  <si>
    <t>Sum of Lung, Mouth and Throat Cancer</t>
  </si>
  <si>
    <t>Sum of Erectile Dysfunction</t>
  </si>
  <si>
    <t>Sum of Cardiovascular Disease</t>
  </si>
  <si>
    <t>Sum of Respiratory Illnesses </t>
  </si>
  <si>
    <t>Sum of Type 2 Diabetes</t>
  </si>
  <si>
    <t>Non-binary</t>
  </si>
  <si>
    <t>Non-smoking</t>
  </si>
  <si>
    <t>smoking</t>
  </si>
  <si>
    <t>Count of 1</t>
  </si>
  <si>
    <t>Non-smoker</t>
  </si>
  <si>
    <t>Smoker</t>
  </si>
  <si>
    <t>smoker</t>
  </si>
  <si>
    <t>non-smoker</t>
  </si>
  <si>
    <t>Count of Months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</si>
</sst>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\ h:mm:ss"/>
  </numFmts>
  <fonts count="8" x14ac:knownFonts="1">
    <font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8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  <border>
      <left style="thin">
        <color theme="4" tint="0.39997558519241921"/>
      </left>
      <right/>
      <top style="thin">
        <color theme="4" tint="0.39997558519241921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33">
    <xf numFmtId="0" fontId="0" fillId="0" borderId="0" xfId="0"/>
    <xf numFmtId="164" fontId="0" fillId="0" borderId="0" xfId="0" applyNumberFormat="1"/>
    <xf numFmtId="0" fontId="0" fillId="0" borderId="0" xfId="0" applyAlignment="1">
      <alignment horizontal="left"/>
    </xf>
    <xf numFmtId="0" fontId="0" fillId="0" borderId="0" xfId="0" quotePrefix="1" applyAlignment="1">
      <alignment horizontal="left"/>
    </xf>
    <xf numFmtId="0" fontId="0" fillId="2" borderId="1" xfId="0" applyFill="1" applyBorder="1"/>
    <xf numFmtId="164" fontId="0" fillId="2" borderId="2" xfId="0" applyNumberFormat="1" applyFill="1" applyBorder="1"/>
    <xf numFmtId="0" fontId="0" fillId="2" borderId="2" xfId="0" applyFill="1" applyBorder="1"/>
    <xf numFmtId="0" fontId="0" fillId="2" borderId="2" xfId="0" applyFill="1" applyBorder="1" applyAlignment="1">
      <alignment horizontal="left"/>
    </xf>
    <xf numFmtId="0" fontId="0" fillId="2" borderId="2" xfId="0" quotePrefix="1" applyFill="1" applyBorder="1" applyAlignment="1">
      <alignment horizontal="left"/>
    </xf>
    <xf numFmtId="0" fontId="0" fillId="0" borderId="0" xfId="0" pivotButton="1"/>
    <xf numFmtId="10" fontId="0" fillId="0" borderId="0" xfId="0" applyNumberFormat="1"/>
    <xf numFmtId="0" fontId="1" fillId="0" borderId="0" xfId="0" applyFont="1" applyAlignment="1">
      <alignment horizontal="centerContinuous"/>
    </xf>
    <xf numFmtId="0" fontId="1" fillId="0" borderId="0" xfId="0" applyFont="1" applyAlignment="1">
      <alignment horizontal="center"/>
    </xf>
    <xf numFmtId="0" fontId="0" fillId="2" borderId="4" xfId="0" applyFill="1" applyBorder="1"/>
    <xf numFmtId="164" fontId="0" fillId="2" borderId="3" xfId="0" applyNumberFormat="1" applyFill="1" applyBorder="1"/>
    <xf numFmtId="0" fontId="0" fillId="2" borderId="3" xfId="0" applyFill="1" applyBorder="1"/>
    <xf numFmtId="0" fontId="0" fillId="2" borderId="3" xfId="0" applyFill="1" applyBorder="1" applyAlignment="1">
      <alignment horizontal="left"/>
    </xf>
    <xf numFmtId="0" fontId="0" fillId="2" borderId="3" xfId="0" quotePrefix="1" applyFill="1" applyBorder="1" applyAlignment="1">
      <alignment horizontal="left"/>
    </xf>
    <xf numFmtId="164" fontId="0" fillId="0" borderId="0" xfId="0" applyNumberFormat="1" applyAlignment="1">
      <alignment horizontal="right"/>
    </xf>
    <xf numFmtId="0" fontId="5" fillId="3" borderId="2" xfId="0" applyFont="1" applyFill="1" applyBorder="1"/>
    <xf numFmtId="0" fontId="0" fillId="4" borderId="0" xfId="0" applyFill="1"/>
    <xf numFmtId="0" fontId="0" fillId="5" borderId="5" xfId="0" applyFill="1" applyBorder="1"/>
    <xf numFmtId="0" fontId="0" fillId="5" borderId="6" xfId="0" applyFill="1" applyBorder="1"/>
    <xf numFmtId="0" fontId="5" fillId="3" borderId="7" xfId="0" applyFont="1" applyFill="1" applyBorder="1"/>
    <xf numFmtId="0" fontId="0" fillId="4" borderId="0" xfId="0" applyFill="1" applyAlignment="1">
      <alignment horizontal="center"/>
    </xf>
    <xf numFmtId="0" fontId="5" fillId="3" borderId="8" xfId="0" applyFont="1" applyFill="1" applyBorder="1"/>
    <xf numFmtId="0" fontId="0" fillId="2" borderId="8" xfId="0" applyFill="1" applyBorder="1"/>
    <xf numFmtId="0" fontId="0" fillId="0" borderId="8" xfId="0" applyBorder="1"/>
    <xf numFmtId="0" fontId="7" fillId="0" borderId="0" xfId="0" applyFont="1"/>
    <xf numFmtId="0" fontId="0" fillId="0" borderId="0" xfId="0" applyNumberFormat="1"/>
    <xf numFmtId="0" fontId="5" fillId="3" borderId="0" xfId="0" applyFont="1" applyFill="1" applyAlignment="1">
      <alignment horizontal="center"/>
    </xf>
    <xf numFmtId="0" fontId="6" fillId="6" borderId="0" xfId="0" applyFont="1" applyFill="1" applyAlignment="1">
      <alignment horizontal="center"/>
    </xf>
    <xf numFmtId="0" fontId="0" fillId="7" borderId="0" xfId="0" applyFill="1"/>
  </cellXfs>
  <cellStyles count="1">
    <cellStyle name="Normal" xfId="0" builtinId="0"/>
  </cellStyles>
  <dxfs count="73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  <alignment horizontal="left" vertical="bottom" textRotation="0" wrapText="0" indent="0" justifyLastLine="0" shrinkToFit="0" readingOrder="0"/>
    </dxf>
    <dxf>
      <numFmt numFmtId="0" formatCode="General"/>
      <alignment horizontal="left" vertical="bottom" textRotation="0" wrapText="0" indent="0" justifyLastLine="0" shrinkToFit="0" readingOrder="0"/>
    </dxf>
    <dxf>
      <numFmt numFmtId="0" formatCode="General"/>
      <alignment horizontal="left" vertical="bottom" textRotation="0" wrapText="0" indent="0" justifyLastLine="0" shrinkToFit="0" readingOrder="0"/>
    </dxf>
    <dxf>
      <numFmt numFmtId="0" formatCode="General"/>
      <alignment horizontal="left" vertical="bottom" textRotation="0" wrapText="0" indent="0" justifyLastLine="0" shrinkToFit="0" readingOrder="0"/>
    </dxf>
    <dxf>
      <numFmt numFmtId="0" formatCode="General"/>
      <alignment horizontal="left" vertical="bottom" textRotation="0" wrapText="0" indent="0" justifyLastLine="0" shrinkToFit="0" readingOrder="0"/>
    </dxf>
    <dxf>
      <numFmt numFmtId="0" formatCode="General"/>
      <alignment horizontal="left" vertical="bottom" textRotation="0" wrapText="0" indent="0" justifyLastLine="0" shrinkToFit="0" readingOrder="0"/>
    </dxf>
    <dxf>
      <numFmt numFmtId="0" formatCode="General"/>
      <alignment horizontal="left" vertical="bottom" textRotation="0" wrapText="0" indent="0" justifyLastLine="0" shrinkToFit="0" readingOrder="0"/>
    </dxf>
    <dxf>
      <numFmt numFmtId="0" formatCode="General"/>
      <alignment horizontal="left" vertical="bottom" textRotation="0" wrapText="0" indent="0" justifyLastLine="0" shrinkToFit="0" readingOrder="0"/>
    </dxf>
    <dxf>
      <numFmt numFmtId="0" formatCode="General"/>
    </dxf>
    <dxf>
      <numFmt numFmtId="0" formatCode="General"/>
    </dxf>
    <dxf>
      <numFmt numFmtId="0" formatCode="General"/>
      <alignment horizontal="left" vertical="bottom" textRotation="0" wrapText="0" indent="0" justifyLastLine="0" shrinkToFit="0" readingOrder="0"/>
    </dxf>
    <dxf>
      <numFmt numFmtId="0" formatCode="General"/>
      <alignment horizontal="left" vertical="bottom" textRotation="0" wrapText="0" indent="0" justifyLastLine="0" shrinkToFit="0" readingOrder="0"/>
    </dxf>
    <dxf>
      <numFmt numFmtId="164" formatCode="m/d/yy\ h:mm:ss"/>
    </dxf>
    <dxf>
      <numFmt numFmtId="0" formatCode="General"/>
    </dxf>
    <dxf>
      <numFmt numFmtId="0" formatCode="General"/>
    </dxf>
    <dxf>
      <numFmt numFmtId="0" formatCode="General"/>
      <alignment horizontal="left" vertical="bottom" textRotation="0" wrapText="0" indent="0" justifyLastLine="0" shrinkToFit="0" readingOrder="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  <alignment horizontal="left" vertical="bottom" textRotation="0" wrapText="0" indent="0" justifyLastLine="0" shrinkToFit="0" readingOrder="0"/>
    </dxf>
    <dxf>
      <numFmt numFmtId="0" formatCode="General"/>
    </dxf>
    <dxf>
      <numFmt numFmtId="0" formatCode="General"/>
      <alignment horizontal="left" vertical="bottom" textRotation="0" wrapText="0" indent="0" justifyLastLine="0" shrinkToFit="0" readingOrder="0"/>
    </dxf>
    <dxf>
      <numFmt numFmtId="0" formatCode="General"/>
      <alignment horizontal="left" vertical="bottom" textRotation="0" wrapText="0" indent="0" justifyLastLine="0" shrinkToFit="0" readingOrder="0"/>
    </dxf>
    <dxf>
      <numFmt numFmtId="0" formatCode="General"/>
      <alignment horizontal="left" vertical="bottom" textRotation="0" wrapText="0" indent="0" justifyLastLine="0" shrinkToFit="0" readingOrder="0"/>
    </dxf>
    <dxf>
      <numFmt numFmtId="0" formatCode="General"/>
      <alignment horizontal="left" vertical="bottom" textRotation="0" wrapText="0" indent="0" justifyLastLine="0" shrinkToFit="0" readingOrder="0"/>
    </dxf>
    <dxf>
      <numFmt numFmtId="0" formatCode="General"/>
      <alignment horizontal="left" vertical="bottom" textRotation="0" wrapText="0" indent="0" justifyLastLine="0" shrinkToFit="0" readingOrder="0"/>
    </dxf>
    <dxf>
      <numFmt numFmtId="0" formatCode="General"/>
      <alignment horizontal="left" vertical="bottom" textRotation="0" wrapText="0" indent="0" justifyLastLine="0" shrinkToFit="0" readingOrder="0"/>
    </dxf>
    <dxf>
      <numFmt numFmtId="0" formatCode="General"/>
      <alignment horizontal="left" vertical="bottom" textRotation="0" wrapText="0" indent="0" justifyLastLine="0" shrinkToFit="0" readingOrder="0"/>
    </dxf>
    <dxf>
      <numFmt numFmtId="0" formatCode="General"/>
      <alignment horizontal="left" vertical="bottom" textRotation="0" wrapText="0" indent="0" justifyLastLine="0" shrinkToFit="0" readingOrder="0"/>
    </dxf>
    <dxf>
      <numFmt numFmtId="0" formatCode="General"/>
    </dxf>
    <dxf>
      <numFmt numFmtId="0" formatCode="General"/>
    </dxf>
    <dxf>
      <numFmt numFmtId="0" formatCode="General"/>
      <alignment horizontal="left" vertical="bottom" textRotation="0" wrapText="0" indent="0" justifyLastLine="0" shrinkToFit="0" readingOrder="0"/>
    </dxf>
    <dxf>
      <numFmt numFmtId="0" formatCode="General"/>
      <alignment horizontal="left" vertical="bottom" textRotation="0" wrapText="0" indent="0" justifyLastLine="0" shrinkToFit="0" readingOrder="0"/>
    </dxf>
    <dxf>
      <numFmt numFmtId="164" formatCode="m/d/yy\ h:mm:ss"/>
    </dxf>
    <dxf>
      <numFmt numFmtId="0" formatCode="General"/>
    </dxf>
    <dxf>
      <numFmt numFmtId="0" formatCode="General"/>
    </dxf>
    <dxf>
      <numFmt numFmtId="164" formatCode="m/d/yy\ h:mm:ss"/>
    </dxf>
    <dxf>
      <numFmt numFmtId="164" formatCode="m/d/yy\ h:mm:ss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  <alignment horizontal="left" vertical="bottom" textRotation="0" wrapText="0" indent="0" justifyLastLine="0" shrinkToFit="0" readingOrder="0"/>
    </dxf>
    <dxf>
      <numFmt numFmtId="0" formatCode="General"/>
    </dxf>
    <dxf>
      <numFmt numFmtId="0" formatCode="General"/>
      <alignment horizontal="left" vertical="bottom" textRotation="0" wrapText="0" indent="0" justifyLastLine="0" shrinkToFit="0" readingOrder="0"/>
    </dxf>
    <dxf>
      <numFmt numFmtId="0" formatCode="General"/>
      <alignment horizontal="left" vertical="bottom" textRotation="0" wrapText="0" indent="0" justifyLastLine="0" shrinkToFit="0" readingOrder="0"/>
    </dxf>
    <dxf>
      <numFmt numFmtId="0" formatCode="General"/>
      <alignment horizontal="left" vertical="bottom" textRotation="0" wrapText="0" indent="0" justifyLastLine="0" shrinkToFit="0" readingOrder="0"/>
    </dxf>
    <dxf>
      <numFmt numFmtId="0" formatCode="General"/>
      <alignment horizontal="left" vertical="bottom" textRotation="0" wrapText="0" indent="0" justifyLastLine="0" shrinkToFit="0" readingOrder="0"/>
    </dxf>
    <dxf>
      <numFmt numFmtId="0" formatCode="General"/>
      <alignment horizontal="left" vertical="bottom" textRotation="0" wrapText="0" indent="0" justifyLastLine="0" shrinkToFit="0" readingOrder="0"/>
    </dxf>
    <dxf>
      <numFmt numFmtId="0" formatCode="General"/>
      <alignment horizontal="left" vertical="bottom" textRotation="0" wrapText="0" indent="0" justifyLastLine="0" shrinkToFit="0" readingOrder="0"/>
    </dxf>
    <dxf>
      <numFmt numFmtId="0" formatCode="General"/>
      <alignment horizontal="left" vertical="bottom" textRotation="0" wrapText="0" indent="0" justifyLastLine="0" shrinkToFit="0" readingOrder="0"/>
    </dxf>
    <dxf>
      <numFmt numFmtId="0" formatCode="General"/>
      <alignment horizontal="left" vertical="bottom" textRotation="0" wrapText="0" indent="0" justifyLastLine="0" shrinkToFit="0" readingOrder="0"/>
    </dxf>
    <dxf>
      <numFmt numFmtId="0" formatCode="General"/>
    </dxf>
    <dxf>
      <numFmt numFmtId="0" formatCode="General"/>
    </dxf>
    <dxf>
      <numFmt numFmtId="0" formatCode="General"/>
      <alignment horizontal="left" vertical="bottom" textRotation="0" wrapText="0" indent="0" justifyLastLine="0" shrinkToFit="0" readingOrder="0"/>
    </dxf>
    <dxf>
      <numFmt numFmtId="0" formatCode="General"/>
      <alignment horizontal="left" vertical="bottom" textRotation="0" wrapText="0" indent="0" justifyLastLine="0" shrinkToFit="0" readingOrder="0"/>
    </dxf>
    <dxf>
      <numFmt numFmtId="164" formatCode="m/d/yy\ h:mm:ss"/>
    </dxf>
    <dxf>
      <numFmt numFmtId="0" formatCode="General"/>
    </dxf>
    <dxf>
      <numFmt numFmtId="164" formatCode="m/d/yy\ h:mm:ss"/>
    </dxf>
    <dxf>
      <numFmt numFmtId="164" formatCode="m/d/yy\ h:mm:ss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2.xml"/><Relationship Id="rId13" Type="http://schemas.openxmlformats.org/officeDocument/2006/relationships/pivotCacheDefinition" Target="pivotCache/pivotCacheDefinition7.xml"/><Relationship Id="rId18" Type="http://schemas.openxmlformats.org/officeDocument/2006/relationships/pivotCacheDefinition" Target="pivotCache/pivotCacheDefinition12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pivotCacheDefinition" Target="pivotCache/pivotCacheDefinition1.xml"/><Relationship Id="rId12" Type="http://schemas.openxmlformats.org/officeDocument/2006/relationships/pivotCacheDefinition" Target="pivotCache/pivotCacheDefinition6.xml"/><Relationship Id="rId17" Type="http://schemas.openxmlformats.org/officeDocument/2006/relationships/pivotCacheDefinition" Target="pivotCache/pivotCacheDefinition11.xml"/><Relationship Id="rId2" Type="http://schemas.openxmlformats.org/officeDocument/2006/relationships/worksheet" Target="worksheets/sheet2.xml"/><Relationship Id="rId16" Type="http://schemas.openxmlformats.org/officeDocument/2006/relationships/pivotCacheDefinition" Target="pivotCache/pivotCacheDefinition10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5.xml"/><Relationship Id="rId24" Type="http://schemas.microsoft.com/office/2017/10/relationships/person" Target="persons/person.xml"/><Relationship Id="rId5" Type="http://schemas.openxmlformats.org/officeDocument/2006/relationships/worksheet" Target="worksheets/sheet5.xml"/><Relationship Id="rId15" Type="http://schemas.openxmlformats.org/officeDocument/2006/relationships/pivotCacheDefinition" Target="pivotCache/pivotCacheDefinition9.xml"/><Relationship Id="rId23" Type="http://schemas.openxmlformats.org/officeDocument/2006/relationships/calcChain" Target="calcChain.xml"/><Relationship Id="rId10" Type="http://schemas.openxmlformats.org/officeDocument/2006/relationships/pivotCacheDefinition" Target="pivotCache/pivotCacheDefinition4.xml"/><Relationship Id="rId19" Type="http://schemas.openxmlformats.org/officeDocument/2006/relationships/pivotCacheDefinition" Target="pivotCache/pivotCacheDefinition13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3.xml"/><Relationship Id="rId14" Type="http://schemas.openxmlformats.org/officeDocument/2006/relationships/pivotCacheDefinition" Target="pivotCache/pivotCacheDefinition8.xml"/><Relationship Id="rId22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20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21.xml.rels><?xml version="1.0" encoding="UTF-8" standalone="yes"?>
<Relationships xmlns="http://schemas.openxmlformats.org/package/2006/relationships"><Relationship Id="rId2" Type="http://schemas.microsoft.com/office/2011/relationships/chartColorStyle" Target="colors21.xml"/><Relationship Id="rId1" Type="http://schemas.microsoft.com/office/2011/relationships/chartStyle" Target="style21.xml"/></Relationships>
</file>

<file path=xl/charts/_rels/chart22.xml.rels><?xml version="1.0" encoding="UTF-8" standalone="yes"?>
<Relationships xmlns="http://schemas.openxmlformats.org/package/2006/relationships"><Relationship Id="rId2" Type="http://schemas.microsoft.com/office/2011/relationships/chartColorStyle" Target="colors22.xml"/><Relationship Id="rId1" Type="http://schemas.microsoft.com/office/2011/relationships/chartStyle" Target="style2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[Data_Booi_J and Ngubane_A.xlsx]Demographic Data!PivotTable1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Age</a:t>
            </a:r>
            <a:r>
              <a:rPr lang="en-US" baseline="0"/>
              <a:t> os students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'Demographic Data'!$B$1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1104-47F0-B7F9-72F0C8710B1B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1104-47F0-B7F9-72F0C8710B1B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1104-47F0-B7F9-72F0C8710B1B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'Demographic Data'!$A$2:$A$5</c:f>
              <c:strCache>
                <c:ptCount val="3"/>
                <c:pt idx="0">
                  <c:v>18-22</c:v>
                </c:pt>
                <c:pt idx="1">
                  <c:v>23-27</c:v>
                </c:pt>
                <c:pt idx="2">
                  <c:v>28-32</c:v>
                </c:pt>
              </c:strCache>
            </c:strRef>
          </c:cat>
          <c:val>
            <c:numRef>
              <c:f>'Demographic Data'!$B$2:$B$5</c:f>
              <c:numCache>
                <c:formatCode>0.00%</c:formatCode>
                <c:ptCount val="3"/>
                <c:pt idx="0">
                  <c:v>0.72413793103448276</c:v>
                </c:pt>
                <c:pt idx="1">
                  <c:v>0.20689655172413793</c:v>
                </c:pt>
                <c:pt idx="2">
                  <c:v>6.8965517241379309E-2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538-F543-AD29-15A810DBB152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/>
              <a:t>Gender</a:t>
            </a:r>
            <a:r>
              <a:rPr lang="en-ZA" baseline="0"/>
              <a:t> Vs The Amount Of People That Knew Of Each Risk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1037180872752897"/>
          <c:y val="0.14663862669340244"/>
          <c:w val="0.52018384579755583"/>
          <c:h val="0.65439004906995324"/>
        </c:manualLayout>
      </c:layout>
      <c:barChart>
        <c:barDir val="col"/>
        <c:grouping val="clustered"/>
        <c:varyColors val="0"/>
        <c:ser>
          <c:idx val="0"/>
          <c:order val="0"/>
          <c:tx>
            <c:v>Sum of Fertility Issues</c:v>
          </c:tx>
          <c:spPr>
            <a:solidFill>
              <a:schemeClr val="accent2">
                <a:shade val="50000"/>
              </a:schemeClr>
            </a:solidFill>
            <a:ln>
              <a:noFill/>
            </a:ln>
            <a:effectLst/>
          </c:spPr>
          <c:invertIfNegative val="0"/>
          <c:cat>
            <c:strLit>
              <c:ptCount val="3"/>
              <c:pt idx="0">
                <c:v>Female</c:v>
              </c:pt>
              <c:pt idx="1">
                <c:v>Male</c:v>
              </c:pt>
              <c:pt idx="2">
                <c:v>Non-binary</c:v>
              </c:pt>
            </c:strLit>
          </c:cat>
          <c:val>
            <c:numLit>
              <c:formatCode>General</c:formatCode>
              <c:ptCount val="3"/>
              <c:pt idx="0">
                <c:v>10</c:v>
              </c:pt>
              <c:pt idx="1">
                <c:v>9</c:v>
              </c:pt>
              <c:pt idx="2">
                <c:v>1</c:v>
              </c:pt>
            </c:numLit>
          </c:val>
          <c:extLst>
            <c:ext xmlns:c16="http://schemas.microsoft.com/office/drawing/2014/chart" uri="{C3380CC4-5D6E-409C-BE32-E72D297353CC}">
              <c16:uniqueId val="{00000000-2797-C444-9EA4-6E88BBD54CF6}"/>
            </c:ext>
          </c:extLst>
        </c:ser>
        <c:ser>
          <c:idx val="1"/>
          <c:order val="1"/>
          <c:tx>
            <c:v>Sum of Lung, Mouth and Throat Cancer</c:v>
          </c:tx>
          <c:spPr>
            <a:solidFill>
              <a:schemeClr val="accent2">
                <a:shade val="70000"/>
              </a:schemeClr>
            </a:solidFill>
            <a:ln>
              <a:noFill/>
            </a:ln>
            <a:effectLst/>
          </c:spPr>
          <c:invertIfNegative val="0"/>
          <c:cat>
            <c:strLit>
              <c:ptCount val="3"/>
              <c:pt idx="0">
                <c:v>Female</c:v>
              </c:pt>
              <c:pt idx="1">
                <c:v>Male</c:v>
              </c:pt>
              <c:pt idx="2">
                <c:v>Non-binary</c:v>
              </c:pt>
            </c:strLit>
          </c:cat>
          <c:val>
            <c:numLit>
              <c:formatCode>General</c:formatCode>
              <c:ptCount val="3"/>
              <c:pt idx="0">
                <c:v>14</c:v>
              </c:pt>
              <c:pt idx="1">
                <c:v>16</c:v>
              </c:pt>
              <c:pt idx="2">
                <c:v>1</c:v>
              </c:pt>
            </c:numLit>
          </c:val>
          <c:extLst>
            <c:ext xmlns:c16="http://schemas.microsoft.com/office/drawing/2014/chart" uri="{C3380CC4-5D6E-409C-BE32-E72D297353CC}">
              <c16:uniqueId val="{00000001-2797-C444-9EA4-6E88BBD54CF6}"/>
            </c:ext>
          </c:extLst>
        </c:ser>
        <c:ser>
          <c:idx val="2"/>
          <c:order val="2"/>
          <c:tx>
            <c:v>Sum of Erectile Dysfunction</c:v>
          </c:tx>
          <c:spPr>
            <a:solidFill>
              <a:schemeClr val="accent2">
                <a:shade val="90000"/>
              </a:schemeClr>
            </a:solidFill>
            <a:ln>
              <a:noFill/>
            </a:ln>
            <a:effectLst/>
          </c:spPr>
          <c:invertIfNegative val="0"/>
          <c:cat>
            <c:strLit>
              <c:ptCount val="3"/>
              <c:pt idx="0">
                <c:v>Female</c:v>
              </c:pt>
              <c:pt idx="1">
                <c:v>Male</c:v>
              </c:pt>
              <c:pt idx="2">
                <c:v>Non-binary</c:v>
              </c:pt>
            </c:strLit>
          </c:cat>
          <c:val>
            <c:numLit>
              <c:formatCode>General</c:formatCode>
              <c:ptCount val="3"/>
              <c:pt idx="0">
                <c:v>4</c:v>
              </c:pt>
              <c:pt idx="1">
                <c:v>7</c:v>
              </c:pt>
              <c:pt idx="2">
                <c:v>1</c:v>
              </c:pt>
            </c:numLit>
          </c:val>
          <c:extLst>
            <c:ext xmlns:c16="http://schemas.microsoft.com/office/drawing/2014/chart" uri="{C3380CC4-5D6E-409C-BE32-E72D297353CC}">
              <c16:uniqueId val="{00000002-2797-C444-9EA4-6E88BBD54CF6}"/>
            </c:ext>
          </c:extLst>
        </c:ser>
        <c:ser>
          <c:idx val="3"/>
          <c:order val="3"/>
          <c:tx>
            <c:v>Sum of Cardiovascular Disease</c:v>
          </c:tx>
          <c:spPr>
            <a:solidFill>
              <a:schemeClr val="accent2">
                <a:tint val="90000"/>
              </a:schemeClr>
            </a:solidFill>
            <a:ln>
              <a:noFill/>
            </a:ln>
            <a:effectLst/>
          </c:spPr>
          <c:invertIfNegative val="0"/>
          <c:cat>
            <c:strLit>
              <c:ptCount val="3"/>
              <c:pt idx="0">
                <c:v>Female</c:v>
              </c:pt>
              <c:pt idx="1">
                <c:v>Male</c:v>
              </c:pt>
              <c:pt idx="2">
                <c:v>Non-binary</c:v>
              </c:pt>
            </c:strLit>
          </c:cat>
          <c:val>
            <c:numLit>
              <c:formatCode>General</c:formatCode>
              <c:ptCount val="3"/>
              <c:pt idx="0">
                <c:v>10</c:v>
              </c:pt>
              <c:pt idx="1">
                <c:v>13</c:v>
              </c:pt>
              <c:pt idx="2">
                <c:v>1</c:v>
              </c:pt>
            </c:numLit>
          </c:val>
          <c:extLst>
            <c:ext xmlns:c16="http://schemas.microsoft.com/office/drawing/2014/chart" uri="{C3380CC4-5D6E-409C-BE32-E72D297353CC}">
              <c16:uniqueId val="{00000003-2797-C444-9EA4-6E88BBD54CF6}"/>
            </c:ext>
          </c:extLst>
        </c:ser>
        <c:ser>
          <c:idx val="4"/>
          <c:order val="4"/>
          <c:tx>
            <c:v>Sum of Respiratory Illnesses </c:v>
          </c:tx>
          <c:spPr>
            <a:solidFill>
              <a:schemeClr val="accent2">
                <a:tint val="70000"/>
              </a:schemeClr>
            </a:solidFill>
            <a:ln>
              <a:noFill/>
            </a:ln>
            <a:effectLst/>
          </c:spPr>
          <c:invertIfNegative val="0"/>
          <c:cat>
            <c:strLit>
              <c:ptCount val="3"/>
              <c:pt idx="0">
                <c:v>Female</c:v>
              </c:pt>
              <c:pt idx="1">
                <c:v>Male</c:v>
              </c:pt>
              <c:pt idx="2">
                <c:v>Non-binary</c:v>
              </c:pt>
            </c:strLit>
          </c:cat>
          <c:val>
            <c:numLit>
              <c:formatCode>General</c:formatCode>
              <c:ptCount val="3"/>
              <c:pt idx="0">
                <c:v>13</c:v>
              </c:pt>
              <c:pt idx="1">
                <c:v>15</c:v>
              </c:pt>
              <c:pt idx="2">
                <c:v>1</c:v>
              </c:pt>
            </c:numLit>
          </c:val>
          <c:extLst>
            <c:ext xmlns:c16="http://schemas.microsoft.com/office/drawing/2014/chart" uri="{C3380CC4-5D6E-409C-BE32-E72D297353CC}">
              <c16:uniqueId val="{00000004-2797-C444-9EA4-6E88BBD54CF6}"/>
            </c:ext>
          </c:extLst>
        </c:ser>
        <c:ser>
          <c:idx val="5"/>
          <c:order val="5"/>
          <c:tx>
            <c:v>Sum of Type 2 Diabetes</c:v>
          </c:tx>
          <c:spPr>
            <a:solidFill>
              <a:schemeClr val="accent2">
                <a:tint val="50000"/>
              </a:schemeClr>
            </a:solidFill>
            <a:ln>
              <a:noFill/>
            </a:ln>
            <a:effectLst/>
          </c:spPr>
          <c:invertIfNegative val="0"/>
          <c:cat>
            <c:strLit>
              <c:ptCount val="3"/>
              <c:pt idx="0">
                <c:v>Female</c:v>
              </c:pt>
              <c:pt idx="1">
                <c:v>Male</c:v>
              </c:pt>
              <c:pt idx="2">
                <c:v>Non-binary</c:v>
              </c:pt>
            </c:strLit>
          </c:cat>
          <c:val>
            <c:numLit>
              <c:formatCode>General</c:formatCode>
              <c:ptCount val="3"/>
              <c:pt idx="0">
                <c:v>3</c:v>
              </c:pt>
              <c:pt idx="1">
                <c:v>5</c:v>
              </c:pt>
              <c:pt idx="2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5-2797-C444-9EA4-6E88BBD54CF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67547599"/>
        <c:axId val="767548559"/>
      </c:barChart>
      <c:catAx>
        <c:axId val="76754759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/>
                  <a:t>Gender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7548559"/>
        <c:crosses val="autoZero"/>
        <c:auto val="1"/>
        <c:lblAlgn val="ctr"/>
        <c:lblOffset val="100"/>
        <c:noMultiLvlLbl val="0"/>
      </c:catAx>
      <c:valAx>
        <c:axId val="7675485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Amount</a:t>
                </a:r>
                <a:r>
                  <a:rPr lang="en-US" baseline="0"/>
                  <a:t> of People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754759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65158371040723972"/>
          <c:y val="0.26636435505802736"/>
          <c:w val="0.30819507290095527"/>
          <c:h val="0.60855611422066214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[Data_Booi_J and Ngubane_A.xlsx]Demographic Data!PivotTable2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Students by faculty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'Demographic Data'!$B$14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5EBD-4F10-8332-DA4B075D5C48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5EBD-4F10-8332-DA4B075D5C48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5EBD-4F10-8332-DA4B075D5C48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5EBD-4F10-8332-DA4B075D5C48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5EBD-4F10-8332-DA4B075D5C48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5EBD-4F10-8332-DA4B075D5C48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5EBD-4F10-8332-DA4B075D5C48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'Demographic Data'!$A$15:$A$22</c:f>
              <c:strCache>
                <c:ptCount val="7"/>
                <c:pt idx="0">
                  <c:v>Faculty of Economics and Management Sciences </c:v>
                </c:pt>
                <c:pt idx="1">
                  <c:v>Faculty of Education</c:v>
                </c:pt>
                <c:pt idx="2">
                  <c:v>Faculty of Health Sciences </c:v>
                </c:pt>
                <c:pt idx="3">
                  <c:v>Faculty of Humanities</c:v>
                </c:pt>
                <c:pt idx="4">
                  <c:v>Faculty of Law</c:v>
                </c:pt>
                <c:pt idx="5">
                  <c:v>Faculty of Natural and Agricultural Sciences</c:v>
                </c:pt>
                <c:pt idx="6">
                  <c:v>Faculty of Theology</c:v>
                </c:pt>
              </c:strCache>
            </c:strRef>
          </c:cat>
          <c:val>
            <c:numRef>
              <c:f>'Demographic Data'!$B$15:$B$22</c:f>
              <c:numCache>
                <c:formatCode>0.00%</c:formatCode>
                <c:ptCount val="7"/>
                <c:pt idx="0">
                  <c:v>0.12903225806451613</c:v>
                </c:pt>
                <c:pt idx="1">
                  <c:v>0.12903225806451613</c:v>
                </c:pt>
                <c:pt idx="2">
                  <c:v>0.19354838709677419</c:v>
                </c:pt>
                <c:pt idx="3">
                  <c:v>9.6774193548387094E-2</c:v>
                </c:pt>
                <c:pt idx="4">
                  <c:v>0.12903225806451613</c:v>
                </c:pt>
                <c:pt idx="5">
                  <c:v>0.22580645161290322</c:v>
                </c:pt>
                <c:pt idx="6">
                  <c:v>9.6774193548387094E-2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E50-3448-827D-7EFE4E482B06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[Data_Booi_J and Ngubane_A.xlsx]Smokers VS Non-smokers!PivotTable1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Smoking Habbits</a:t>
            </a:r>
          </a:p>
        </c:rich>
      </c:tx>
      <c:layout>
        <c:manualLayout>
          <c:xMode val="edge"/>
          <c:yMode val="edge"/>
          <c:x val="0.29903698401336204"/>
          <c:y val="0.11934966462525518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'Smokers VS Non-smokers'!$B$1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0CD9-4DCD-B0FB-A9F0F4AE070E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0CD9-4DCD-B0FB-A9F0F4AE070E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'Smokers VS Non-smokers'!$A$2:$A$4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'Smokers VS Non-smokers'!$B$2:$B$4</c:f>
              <c:numCache>
                <c:formatCode>General</c:formatCode>
                <c:ptCount val="2"/>
                <c:pt idx="0">
                  <c:v>18</c:v>
                </c:pt>
                <c:pt idx="1">
                  <c:v>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3BD-C449-B1C2-D8C886687C1C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[Data_Booi_J and Ngubane_A.xlsx]Smokers VS Non-smokers!PivotTable3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Smoking habbits</a:t>
            </a:r>
            <a:r>
              <a:rPr lang="en-GB" baseline="0"/>
              <a:t> by Faculty</a:t>
            </a:r>
            <a:endParaRPr lang="en-GB"/>
          </a:p>
        </c:rich>
      </c:tx>
      <c:layout>
        <c:manualLayout>
          <c:xMode val="edge"/>
          <c:yMode val="edge"/>
          <c:x val="0.35366787193558846"/>
          <c:y val="6.238532110091743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'Smokers VS Non-smokers'!$B$18:$B$19</c:f>
              <c:strCache>
                <c:ptCount val="1"/>
                <c:pt idx="0">
                  <c:v>No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'Smokers VS Non-smokers'!$A$20:$A$27</c:f>
              <c:strCache>
                <c:ptCount val="7"/>
                <c:pt idx="0">
                  <c:v>Faculty of Economics and Management Sciences </c:v>
                </c:pt>
                <c:pt idx="1">
                  <c:v>Faculty of Education</c:v>
                </c:pt>
                <c:pt idx="2">
                  <c:v>Faculty of Health Sciences </c:v>
                </c:pt>
                <c:pt idx="3">
                  <c:v>Faculty of Humanities</c:v>
                </c:pt>
                <c:pt idx="4">
                  <c:v>Faculty of Law</c:v>
                </c:pt>
                <c:pt idx="5">
                  <c:v>Faculty of Natural and Agricultural Sciences</c:v>
                </c:pt>
                <c:pt idx="6">
                  <c:v>Faculty of Theology</c:v>
                </c:pt>
              </c:strCache>
            </c:strRef>
          </c:cat>
          <c:val>
            <c:numRef>
              <c:f>'Smokers VS Non-smokers'!$B$20:$B$27</c:f>
              <c:numCache>
                <c:formatCode>0.00%</c:formatCode>
                <c:ptCount val="7"/>
                <c:pt idx="0">
                  <c:v>6.8965517241379309E-2</c:v>
                </c:pt>
                <c:pt idx="1">
                  <c:v>0.13793103448275862</c:v>
                </c:pt>
                <c:pt idx="2">
                  <c:v>0.13793103448275862</c:v>
                </c:pt>
                <c:pt idx="3">
                  <c:v>6.8965517241379309E-2</c:v>
                </c:pt>
                <c:pt idx="4">
                  <c:v>6.8965517241379309E-2</c:v>
                </c:pt>
                <c:pt idx="5">
                  <c:v>6.8965517241379309E-2</c:v>
                </c:pt>
                <c:pt idx="6">
                  <c:v>6.8965517241379309E-2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C30-D548-BBB2-B8C5B0B2DDBF}"/>
            </c:ext>
          </c:extLst>
        </c:ser>
        <c:ser>
          <c:idx val="1"/>
          <c:order val="1"/>
          <c:tx>
            <c:strRef>
              <c:f>'Smokers VS Non-smokers'!$C$18:$C$19</c:f>
              <c:strCache>
                <c:ptCount val="1"/>
                <c:pt idx="0">
                  <c:v>Yes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'Smokers VS Non-smokers'!$A$20:$A$27</c:f>
              <c:strCache>
                <c:ptCount val="7"/>
                <c:pt idx="0">
                  <c:v>Faculty of Economics and Management Sciences </c:v>
                </c:pt>
                <c:pt idx="1">
                  <c:v>Faculty of Education</c:v>
                </c:pt>
                <c:pt idx="2">
                  <c:v>Faculty of Health Sciences </c:v>
                </c:pt>
                <c:pt idx="3">
                  <c:v>Faculty of Humanities</c:v>
                </c:pt>
                <c:pt idx="4">
                  <c:v>Faculty of Law</c:v>
                </c:pt>
                <c:pt idx="5">
                  <c:v>Faculty of Natural and Agricultural Sciences</c:v>
                </c:pt>
                <c:pt idx="6">
                  <c:v>Faculty of Theology</c:v>
                </c:pt>
              </c:strCache>
            </c:strRef>
          </c:cat>
          <c:val>
            <c:numRef>
              <c:f>'Smokers VS Non-smokers'!$C$20:$C$27</c:f>
              <c:numCache>
                <c:formatCode>0.00%</c:formatCode>
                <c:ptCount val="7"/>
                <c:pt idx="0">
                  <c:v>6.8965517241379309E-2</c:v>
                </c:pt>
                <c:pt idx="1">
                  <c:v>0</c:v>
                </c:pt>
                <c:pt idx="2">
                  <c:v>6.8965517241379309E-2</c:v>
                </c:pt>
                <c:pt idx="3">
                  <c:v>3.4482758620689655E-2</c:v>
                </c:pt>
                <c:pt idx="4">
                  <c:v>6.8965517241379309E-2</c:v>
                </c:pt>
                <c:pt idx="5">
                  <c:v>0.10344827586206896</c:v>
                </c:pt>
                <c:pt idx="6">
                  <c:v>3.4482758620689655E-2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C30-D548-BBB2-B8C5B0B2DDB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126583616"/>
        <c:axId val="2126585328"/>
      </c:barChart>
      <c:catAx>
        <c:axId val="21265836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26585328"/>
        <c:crosses val="autoZero"/>
        <c:auto val="1"/>
        <c:lblAlgn val="ctr"/>
        <c:lblOffset val="100"/>
        <c:noMultiLvlLbl val="0"/>
      </c:catAx>
      <c:valAx>
        <c:axId val="21265853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265836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[Data_Booi_J and Ngubane_A.xlsx]Smokers VS Non-smokers!PivotTable14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 b="1"/>
              <a:t>Smoking habbits of NWU students by gender</a:t>
            </a:r>
          </a:p>
        </c:rich>
      </c:tx>
      <c:layout>
        <c:manualLayout>
          <c:xMode val="edge"/>
          <c:yMode val="edge"/>
          <c:x val="0.25570374417542013"/>
          <c:y val="3.055316487340802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</c:pivotFmt>
      <c:pivotFmt>
        <c:idx val="3"/>
        <c:spPr>
          <a:solidFill>
            <a:schemeClr val="accent2"/>
          </a:solidFill>
          <a:ln>
            <a:noFill/>
          </a:ln>
          <a:effectLst/>
        </c:spP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'Smokers VS Non-smokers'!$B$39:$B$40</c:f>
              <c:strCache>
                <c:ptCount val="1"/>
                <c:pt idx="0">
                  <c:v>Non-smoker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'Smokers VS Non-smokers'!$A$41:$A$44</c:f>
              <c:strCache>
                <c:ptCount val="3"/>
                <c:pt idx="0">
                  <c:v>Male</c:v>
                </c:pt>
                <c:pt idx="1">
                  <c:v>Females</c:v>
                </c:pt>
                <c:pt idx="2">
                  <c:v>Non-Binary</c:v>
                </c:pt>
              </c:strCache>
            </c:strRef>
          </c:cat>
          <c:val>
            <c:numRef>
              <c:f>'Smokers VS Non-smokers'!$B$41:$B$44</c:f>
              <c:numCache>
                <c:formatCode>0.00%</c:formatCode>
                <c:ptCount val="3"/>
                <c:pt idx="0">
                  <c:v>0.2413793103448276</c:v>
                </c:pt>
                <c:pt idx="1">
                  <c:v>0.37931034482758619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2FD-4F24-9DC8-964CBEAEE5CD}"/>
            </c:ext>
          </c:extLst>
        </c:ser>
        <c:ser>
          <c:idx val="1"/>
          <c:order val="1"/>
          <c:tx>
            <c:strRef>
              <c:f>'Smokers VS Non-smokers'!$C$39:$C$40</c:f>
              <c:strCache>
                <c:ptCount val="1"/>
                <c:pt idx="0">
                  <c:v>Smoker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'Smokers VS Non-smokers'!$A$41:$A$44</c:f>
              <c:strCache>
                <c:ptCount val="3"/>
                <c:pt idx="0">
                  <c:v>Male</c:v>
                </c:pt>
                <c:pt idx="1">
                  <c:v>Females</c:v>
                </c:pt>
                <c:pt idx="2">
                  <c:v>Non-Binary</c:v>
                </c:pt>
              </c:strCache>
            </c:strRef>
          </c:cat>
          <c:val>
            <c:numRef>
              <c:f>'Smokers VS Non-smokers'!$C$41:$C$44</c:f>
              <c:numCache>
                <c:formatCode>0.00%</c:formatCode>
                <c:ptCount val="3"/>
                <c:pt idx="0">
                  <c:v>0.2413793103448276</c:v>
                </c:pt>
                <c:pt idx="1">
                  <c:v>0.10344827586206896</c:v>
                </c:pt>
                <c:pt idx="2">
                  <c:v>3.4482758620689655E-2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2FD-4F24-9DC8-964CBEAEE5C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713184688"/>
        <c:axId val="1713183024"/>
      </c:barChart>
      <c:catAx>
        <c:axId val="171318468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 sz="1200" b="1"/>
                  <a:t>Gender</a:t>
                </a:r>
              </a:p>
            </c:rich>
          </c:tx>
          <c:layout>
            <c:manualLayout>
              <c:xMode val="edge"/>
              <c:yMode val="edge"/>
              <c:x val="0.43707589613146036"/>
              <c:y val="0.9423434163577991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13183024"/>
        <c:crosses val="autoZero"/>
        <c:auto val="1"/>
        <c:lblAlgn val="ctr"/>
        <c:lblOffset val="100"/>
        <c:noMultiLvlLbl val="0"/>
      </c:catAx>
      <c:valAx>
        <c:axId val="17131830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 sz="1200" b="1"/>
                  <a:t>Number</a:t>
                </a:r>
                <a:r>
                  <a:rPr lang="en-ZA" sz="1200" b="1" baseline="0"/>
                  <a:t> of student( Smoking and non-smoking)</a:t>
                </a:r>
                <a:endParaRPr lang="en-ZA" sz="1200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131846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[Data_Booi_J and Ngubane_A.xlsx]Smokers VS Non-smokers!PivotTable2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/>
              <a:t>Smoking habbits vs smoking health knowledge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'Smokers VS Non-smokers'!$B$63:$B$64</c:f>
              <c:strCache>
                <c:ptCount val="1"/>
                <c:pt idx="0">
                  <c:v>Very Well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'Smokers VS Non-smokers'!$A$65:$A$67</c:f>
              <c:strCache>
                <c:ptCount val="2"/>
                <c:pt idx="0">
                  <c:v>smoker</c:v>
                </c:pt>
                <c:pt idx="1">
                  <c:v>non-smoker</c:v>
                </c:pt>
              </c:strCache>
            </c:strRef>
          </c:cat>
          <c:val>
            <c:numRef>
              <c:f>'Smokers VS Non-smokers'!$B$65:$B$67</c:f>
              <c:numCache>
                <c:formatCode>0.00%</c:formatCode>
                <c:ptCount val="2"/>
                <c:pt idx="0">
                  <c:v>0.27586206896551724</c:v>
                </c:pt>
                <c:pt idx="1">
                  <c:v>0.20689655172413793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286-49C2-8845-E8CB5A540F1D}"/>
            </c:ext>
          </c:extLst>
        </c:ser>
        <c:ser>
          <c:idx val="1"/>
          <c:order val="1"/>
          <c:tx>
            <c:strRef>
              <c:f>'Smokers VS Non-smokers'!$C$63:$C$64</c:f>
              <c:strCache>
                <c:ptCount val="1"/>
                <c:pt idx="0">
                  <c:v>Somewhat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'Smokers VS Non-smokers'!$A$65:$A$67</c:f>
              <c:strCache>
                <c:ptCount val="2"/>
                <c:pt idx="0">
                  <c:v>smoker</c:v>
                </c:pt>
                <c:pt idx="1">
                  <c:v>non-smoker</c:v>
                </c:pt>
              </c:strCache>
            </c:strRef>
          </c:cat>
          <c:val>
            <c:numRef>
              <c:f>'Smokers VS Non-smokers'!$C$65:$C$67</c:f>
              <c:numCache>
                <c:formatCode>0.00%</c:formatCode>
                <c:ptCount val="2"/>
                <c:pt idx="0">
                  <c:v>0.2413793103448276</c:v>
                </c:pt>
                <c:pt idx="1">
                  <c:v>0.13793103448275862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286-49C2-8845-E8CB5A540F1D}"/>
            </c:ext>
          </c:extLst>
        </c:ser>
        <c:ser>
          <c:idx val="2"/>
          <c:order val="2"/>
          <c:tx>
            <c:strRef>
              <c:f>'Smokers VS Non-smokers'!$D$63:$D$64</c:f>
              <c:strCache>
                <c:ptCount val="1"/>
                <c:pt idx="0">
                  <c:v>Nuetral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'Smokers VS Non-smokers'!$A$65:$A$67</c:f>
              <c:strCache>
                <c:ptCount val="2"/>
                <c:pt idx="0">
                  <c:v>smoker</c:v>
                </c:pt>
                <c:pt idx="1">
                  <c:v>non-smoker</c:v>
                </c:pt>
              </c:strCache>
            </c:strRef>
          </c:cat>
          <c:val>
            <c:numRef>
              <c:f>'Smokers VS Non-smokers'!$D$65:$D$67</c:f>
              <c:numCache>
                <c:formatCode>0.00%</c:formatCode>
                <c:ptCount val="2"/>
                <c:pt idx="0">
                  <c:v>0.10344827586206896</c:v>
                </c:pt>
                <c:pt idx="1">
                  <c:v>3.4482758620689655E-2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286-49C2-8845-E8CB5A540F1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644991695"/>
        <c:axId val="644995023"/>
      </c:barChart>
      <c:catAx>
        <c:axId val="64499169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/>
                  <a:t>Smoking habbit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4995023"/>
        <c:crosses val="autoZero"/>
        <c:auto val="1"/>
        <c:lblAlgn val="ctr"/>
        <c:lblOffset val="100"/>
        <c:noMultiLvlLbl val="0"/>
      </c:catAx>
      <c:valAx>
        <c:axId val="6449950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/>
                  <a:t>Percentage of students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499169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[Data_Booi_J and Ngubane_A.xlsx]Smokers VS Non-smokers!PivotTable10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Average</a:t>
            </a:r>
            <a:r>
              <a:rPr lang="en-US" baseline="0"/>
              <a:t> health effect knowledge by smoking habits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'Smokers VS Non-smokers'!$B$78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'Smokers VS Non-smokers'!$A$79:$A$81</c:f>
              <c:strCache>
                <c:ptCount val="2"/>
                <c:pt idx="0">
                  <c:v>Non-Smokers</c:v>
                </c:pt>
                <c:pt idx="1">
                  <c:v>Smokers</c:v>
                </c:pt>
              </c:strCache>
            </c:strRef>
          </c:cat>
          <c:val>
            <c:numRef>
              <c:f>'Smokers VS Non-smokers'!$B$79:$B$81</c:f>
              <c:numCache>
                <c:formatCode>General</c:formatCode>
                <c:ptCount val="2"/>
                <c:pt idx="0">
                  <c:v>4.3</c:v>
                </c:pt>
                <c:pt idx="1">
                  <c:v>3.4545454545454546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DA6-4B40-97FF-02B25A4CAEB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08317024"/>
        <c:axId val="1308318272"/>
      </c:barChart>
      <c:catAx>
        <c:axId val="130831702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/>
                  <a:t>Smoking habits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8318272"/>
        <c:crosses val="autoZero"/>
        <c:auto val="1"/>
        <c:lblAlgn val="ctr"/>
        <c:lblOffset val="100"/>
        <c:noMultiLvlLbl val="0"/>
      </c:catAx>
      <c:valAx>
        <c:axId val="13083182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/>
                  <a:t>Average negative health effect knowledge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831702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/>
              <a:t>Health Risk Awareness vs Smoking frequency - NWU students</a:t>
            </a:r>
          </a:p>
        </c:rich>
      </c:tx>
      <c:layout>
        <c:manualLayout>
          <c:xMode val="edge"/>
          <c:yMode val="edge"/>
          <c:x val="0.21986881665355501"/>
          <c:y val="2.442480813200496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Smokers!$Z$1</c:f>
              <c:strCache>
                <c:ptCount val="1"/>
                <c:pt idx="0">
                  <c:v>How many joints or cigarettes do you smoke on average a day?2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1.6359699825023145E-2"/>
                  <c:y val="0.29550265729991287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Smokers!$Y$2:$Y$13</c:f>
              <c:numCache>
                <c:formatCode>General</c:formatCode>
                <c:ptCount val="12"/>
                <c:pt idx="0">
                  <c:v>4</c:v>
                </c:pt>
                <c:pt idx="1">
                  <c:v>2</c:v>
                </c:pt>
                <c:pt idx="2">
                  <c:v>4</c:v>
                </c:pt>
                <c:pt idx="3">
                  <c:v>3</c:v>
                </c:pt>
                <c:pt idx="4">
                  <c:v>3</c:v>
                </c:pt>
                <c:pt idx="5">
                  <c:v>1</c:v>
                </c:pt>
                <c:pt idx="6">
                  <c:v>5</c:v>
                </c:pt>
                <c:pt idx="7">
                  <c:v>5</c:v>
                </c:pt>
                <c:pt idx="8">
                  <c:v>2</c:v>
                </c:pt>
                <c:pt idx="9">
                  <c:v>4</c:v>
                </c:pt>
                <c:pt idx="10">
                  <c:v>3</c:v>
                </c:pt>
              </c:numCache>
            </c:numRef>
          </c:xVal>
          <c:yVal>
            <c:numRef>
              <c:f>Smokers!$Z$2:$Z$13</c:f>
              <c:numCache>
                <c:formatCode>General</c:formatCode>
                <c:ptCount val="12"/>
                <c:pt idx="0">
                  <c:v>2</c:v>
                </c:pt>
                <c:pt idx="1">
                  <c:v>1</c:v>
                </c:pt>
                <c:pt idx="2">
                  <c:v>4</c:v>
                </c:pt>
                <c:pt idx="3">
                  <c:v>4</c:v>
                </c:pt>
                <c:pt idx="4">
                  <c:v>2</c:v>
                </c:pt>
                <c:pt idx="5">
                  <c:v>2</c:v>
                </c:pt>
                <c:pt idx="6">
                  <c:v>3</c:v>
                </c:pt>
                <c:pt idx="7">
                  <c:v>0</c:v>
                </c:pt>
                <c:pt idx="8">
                  <c:v>6</c:v>
                </c:pt>
                <c:pt idx="9">
                  <c:v>0</c:v>
                </c:pt>
                <c:pt idx="1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FFF-4697-A44B-60B7926046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07660240"/>
        <c:axId val="1507685616"/>
      </c:scatterChart>
      <c:valAx>
        <c:axId val="15076602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/>
                  <a:t>Health</a:t>
                </a:r>
                <a:r>
                  <a:rPr lang="en-ZA" baseline="0"/>
                  <a:t> Risk Awareness</a:t>
                </a:r>
                <a:endParaRPr lang="en-ZA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07685616"/>
        <c:crosses val="autoZero"/>
        <c:crossBetween val="midCat"/>
      </c:valAx>
      <c:valAx>
        <c:axId val="15076856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/>
                  <a:t>Smoking</a:t>
                </a:r>
                <a:r>
                  <a:rPr lang="en-ZA" baseline="0"/>
                  <a:t> Frequency (per day)</a:t>
                </a:r>
                <a:endParaRPr lang="en-ZA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0766024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 sz="1600" b="1"/>
              <a:t>Why NWU students continue smoking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728A-4895-A391-CD0E970E8036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728A-4895-A391-CD0E970E8036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728A-4895-A391-CD0E970E8036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BF76-4468-9057-74338F24C9E0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BF76-4468-9057-74338F24C9E0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Smokers!$B$49:$B$53</c:f>
              <c:strCache>
                <c:ptCount val="5"/>
                <c:pt idx="0">
                  <c:v>I find pleasure in it</c:v>
                </c:pt>
                <c:pt idx="1">
                  <c:v>It calms me down</c:v>
                </c:pt>
                <c:pt idx="2">
                  <c:v>It's became a force of habit</c:v>
                </c:pt>
                <c:pt idx="3">
                  <c:v>I struggle to quit</c:v>
                </c:pt>
                <c:pt idx="4">
                  <c:v>Problems</c:v>
                </c:pt>
              </c:strCache>
            </c:strRef>
          </c:cat>
          <c:val>
            <c:numRef>
              <c:f>Smokers!$C$49:$C$53</c:f>
              <c:numCache>
                <c:formatCode>General</c:formatCode>
                <c:ptCount val="5"/>
                <c:pt idx="0">
                  <c:v>7</c:v>
                </c:pt>
                <c:pt idx="1">
                  <c:v>5</c:v>
                </c:pt>
                <c:pt idx="2">
                  <c:v>2</c:v>
                </c:pt>
                <c:pt idx="3">
                  <c:v>1</c:v>
                </c:pt>
                <c:pt idx="4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AC2-452C-9A75-E73B8220EF59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 sz="1600" b="1"/>
              <a:t>Why NWU students start smoking</a:t>
            </a:r>
          </a:p>
        </c:rich>
      </c:tx>
      <c:layout>
        <c:manualLayout>
          <c:xMode val="edge"/>
          <c:yMode val="edge"/>
          <c:x val="0.26791154288707203"/>
          <c:y val="4.3960347667505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4CC5-4D5E-A250-B8641F7DBEF8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4CC5-4D5E-A250-B8641F7DBEF8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4CC5-4D5E-A250-B8641F7DBEF8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4CC5-4D5E-A250-B8641F7DBEF8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Smokers!$B$57:$B$60</c:f>
              <c:strCache>
                <c:ptCount val="4"/>
                <c:pt idx="0">
                  <c:v>Other(Curiosity, positive perception of smoking)</c:v>
                </c:pt>
                <c:pt idx="1">
                  <c:v>Learnt from family members</c:v>
                </c:pt>
                <c:pt idx="2">
                  <c:v>Relief from Psychological Issues</c:v>
                </c:pt>
                <c:pt idx="3">
                  <c:v>Stress</c:v>
                </c:pt>
              </c:strCache>
            </c:strRef>
          </c:cat>
          <c:val>
            <c:numRef>
              <c:f>Smokers!$C$57:$C$60</c:f>
              <c:numCache>
                <c:formatCode>General</c:formatCode>
                <c:ptCount val="4"/>
                <c:pt idx="0">
                  <c:v>8</c:v>
                </c:pt>
                <c:pt idx="1">
                  <c:v>1</c:v>
                </c:pt>
                <c:pt idx="2">
                  <c:v>3</c:v>
                </c:pt>
                <c:pt idx="3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970-4CD6-8220-D3D9E8E09708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600" b="1"/>
              <a:t>Student</a:t>
            </a:r>
            <a:r>
              <a:rPr lang="en-US" sz="1600" b="1" baseline="0"/>
              <a:t> s</a:t>
            </a:r>
            <a:r>
              <a:rPr lang="en-US" sz="1600" b="1"/>
              <a:t>moking frequency</a:t>
            </a:r>
            <a:r>
              <a:rPr lang="en-US" sz="1600" b="1" baseline="0"/>
              <a:t> by reason for smoking</a:t>
            </a:r>
            <a:endParaRPr lang="en-US" sz="1600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Smokers!$M$44</c:f>
              <c:strCache>
                <c:ptCount val="1"/>
                <c:pt idx="0">
                  <c:v>How many joints or cigarets a day on average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Smokers!$K$45:$K$47</c:f>
              <c:strCache>
                <c:ptCount val="3"/>
                <c:pt idx="0">
                  <c:v>I find pleasure in it</c:v>
                </c:pt>
                <c:pt idx="1">
                  <c:v>It calms me down</c:v>
                </c:pt>
                <c:pt idx="2">
                  <c:v>It's become a force of habit</c:v>
                </c:pt>
              </c:strCache>
            </c:strRef>
          </c:cat>
          <c:val>
            <c:numRef>
              <c:f>Smokers!$M$45:$M$47</c:f>
              <c:numCache>
                <c:formatCode>General</c:formatCode>
                <c:ptCount val="3"/>
                <c:pt idx="0">
                  <c:v>2</c:v>
                </c:pt>
                <c:pt idx="1">
                  <c:v>2.4</c:v>
                </c:pt>
                <c:pt idx="2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901-48F4-B992-74E533AD5D8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111084160"/>
        <c:axId val="2111084576"/>
      </c:barChart>
      <c:catAx>
        <c:axId val="211108416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/>
                  <a:t>Why</a:t>
                </a:r>
                <a:r>
                  <a:rPr lang="en-US" sz="1200" b="1" baseline="0"/>
                  <a:t> NWU students smoke</a:t>
                </a:r>
                <a:endParaRPr lang="en-US" sz="1200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11084576"/>
        <c:crosses val="autoZero"/>
        <c:auto val="1"/>
        <c:lblAlgn val="ctr"/>
        <c:lblOffset val="100"/>
        <c:noMultiLvlLbl val="0"/>
      </c:catAx>
      <c:valAx>
        <c:axId val="21110845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 sz="1200" b="1"/>
                  <a:t>Student smoking frequency per</a:t>
                </a:r>
                <a:r>
                  <a:rPr lang="en-ZA" sz="1200" b="1" baseline="0"/>
                  <a:t> day(Average)</a:t>
                </a:r>
                <a:endParaRPr lang="en-ZA" sz="1200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110841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[Data_Booi_J and Ngubane_A.xlsx]Smokers!PivotTable1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 b="1"/>
              <a:t>Gender</a:t>
            </a:r>
            <a:r>
              <a:rPr lang="en-ZA" b="1" baseline="0"/>
              <a:t> vs smoking frequency (per day)</a:t>
            </a:r>
            <a:endParaRPr lang="en-ZA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Smokers!$K$18:$K$19</c:f>
              <c:strCache>
                <c:ptCount val="1"/>
                <c:pt idx="0">
                  <c:v>Daily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Smokers!$J$20:$J$23</c:f>
              <c:strCache>
                <c:ptCount val="3"/>
                <c:pt idx="0">
                  <c:v>Male</c:v>
                </c:pt>
                <c:pt idx="1">
                  <c:v>Female</c:v>
                </c:pt>
                <c:pt idx="2">
                  <c:v>Non-Binary</c:v>
                </c:pt>
              </c:strCache>
            </c:strRef>
          </c:cat>
          <c:val>
            <c:numRef>
              <c:f>Smokers!$K$20:$K$23</c:f>
              <c:numCache>
                <c:formatCode>General</c:formatCode>
                <c:ptCount val="3"/>
                <c:pt idx="0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798-4E61-859C-0DE47D56B965}"/>
            </c:ext>
          </c:extLst>
        </c:ser>
        <c:ser>
          <c:idx val="1"/>
          <c:order val="1"/>
          <c:tx>
            <c:strRef>
              <c:f>Smokers!$L$18:$L$19</c:f>
              <c:strCache>
                <c:ptCount val="1"/>
                <c:pt idx="0">
                  <c:v>Occassionally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Smokers!$J$20:$J$23</c:f>
              <c:strCache>
                <c:ptCount val="3"/>
                <c:pt idx="0">
                  <c:v>Male</c:v>
                </c:pt>
                <c:pt idx="1">
                  <c:v>Female</c:v>
                </c:pt>
                <c:pt idx="2">
                  <c:v>Non-Binary</c:v>
                </c:pt>
              </c:strCache>
            </c:strRef>
          </c:cat>
          <c:val>
            <c:numRef>
              <c:f>Smokers!$L$20:$L$23</c:f>
              <c:numCache>
                <c:formatCode>General</c:formatCode>
                <c:ptCount val="3"/>
                <c:pt idx="1">
                  <c:v>2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798-4E61-859C-0DE47D56B965}"/>
            </c:ext>
          </c:extLst>
        </c:ser>
        <c:ser>
          <c:idx val="2"/>
          <c:order val="2"/>
          <c:tx>
            <c:strRef>
              <c:f>Smokers!$M$18:$M$19</c:f>
              <c:strCache>
                <c:ptCount val="1"/>
                <c:pt idx="0">
                  <c:v>Weekly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Smokers!$J$20:$J$23</c:f>
              <c:strCache>
                <c:ptCount val="3"/>
                <c:pt idx="0">
                  <c:v>Male</c:v>
                </c:pt>
                <c:pt idx="1">
                  <c:v>Female</c:v>
                </c:pt>
                <c:pt idx="2">
                  <c:v>Non-Binary</c:v>
                </c:pt>
              </c:strCache>
            </c:strRef>
          </c:cat>
          <c:val>
            <c:numRef>
              <c:f>Smokers!$M$20:$M$23</c:f>
              <c:numCache>
                <c:formatCode>General</c:formatCode>
                <c:ptCount val="3"/>
                <c:pt idx="0">
                  <c:v>1</c:v>
                </c:pt>
                <c:pt idx="1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798-4E61-859C-0DE47D56B96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115717664"/>
        <c:axId val="2115715584"/>
      </c:barChart>
      <c:catAx>
        <c:axId val="211571766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 sz="1200" b="1"/>
                  <a:t>Gender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15715584"/>
        <c:crosses val="autoZero"/>
        <c:auto val="1"/>
        <c:lblAlgn val="ctr"/>
        <c:lblOffset val="100"/>
        <c:noMultiLvlLbl val="0"/>
      </c:catAx>
      <c:valAx>
        <c:axId val="2115715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 sz="1200"/>
                  <a:t>Smoking</a:t>
                </a:r>
                <a:r>
                  <a:rPr lang="en-ZA" sz="1200" baseline="0"/>
                  <a:t> frequency (per day)</a:t>
                </a:r>
                <a:endParaRPr lang="en-ZA" sz="12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157176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[Data_Booi_J and Ngubane_A.xlsx]Smokers!PivotTable4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First drug smoked by students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Smokers!$C$82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904E-46A7-8F48-1AB6C16C22FE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904E-46A7-8F48-1AB6C16C22FE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Smokers!$B$83:$B$85</c:f>
              <c:strCache>
                <c:ptCount val="2"/>
                <c:pt idx="0">
                  <c:v>Cigarettes</c:v>
                </c:pt>
                <c:pt idx="1">
                  <c:v>Marijuana</c:v>
                </c:pt>
              </c:strCache>
            </c:strRef>
          </c:cat>
          <c:val>
            <c:numRef>
              <c:f>Smokers!$C$83:$C$85</c:f>
              <c:numCache>
                <c:formatCode>General</c:formatCode>
                <c:ptCount val="2"/>
                <c:pt idx="0">
                  <c:v>3</c:v>
                </c:pt>
                <c:pt idx="1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A9B-4275-9AA7-07AF63065F07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[Data_Booi_J and Ngubane_A.xlsx]Smokers!PivotTable5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Smoking</a:t>
            </a:r>
            <a:r>
              <a:rPr lang="en-US" baseline="0"/>
              <a:t> frequency (per day) by smoking duration (Year)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282285576371919"/>
          <c:y val="0.19714271988347926"/>
          <c:w val="0.85491320481491528"/>
          <c:h val="0.5803624021919698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Smokers!$K$78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Smokers!$J$79:$J$82</c:f>
              <c:strCache>
                <c:ptCount val="3"/>
                <c:pt idx="0">
                  <c:v>0 - 6 months</c:v>
                </c:pt>
                <c:pt idx="1">
                  <c:v>7 - 12 months</c:v>
                </c:pt>
                <c:pt idx="2">
                  <c:v>More than 2 years</c:v>
                </c:pt>
              </c:strCache>
            </c:strRef>
          </c:cat>
          <c:val>
            <c:numRef>
              <c:f>Smokers!$K$79:$K$82</c:f>
              <c:numCache>
                <c:formatCode>General</c:formatCode>
                <c:ptCount val="3"/>
                <c:pt idx="0">
                  <c:v>1</c:v>
                </c:pt>
                <c:pt idx="1">
                  <c:v>2.75</c:v>
                </c:pt>
                <c:pt idx="2">
                  <c:v>2.8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316-4D48-9A9B-D2F110B0185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89856208"/>
        <c:axId val="889844144"/>
      </c:barChart>
      <c:catAx>
        <c:axId val="88985620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/>
                  <a:t>Smoking duration (Years)</a:t>
                </a:r>
              </a:p>
            </c:rich>
          </c:tx>
          <c:layout>
            <c:manualLayout>
              <c:xMode val="edge"/>
              <c:yMode val="edge"/>
              <c:x val="0.46370120976257284"/>
              <c:y val="0.87105035165306699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89844144"/>
        <c:crosses val="autoZero"/>
        <c:auto val="1"/>
        <c:lblAlgn val="ctr"/>
        <c:lblOffset val="100"/>
        <c:noMultiLvlLbl val="0"/>
      </c:catAx>
      <c:valAx>
        <c:axId val="8898441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 sz="1100" b="1"/>
                  <a:t>Students smoking frequency per day(average)</a:t>
                </a:r>
              </a:p>
            </c:rich>
          </c:tx>
          <c:layout>
            <c:manualLayout>
              <c:xMode val="edge"/>
              <c:yMode val="edge"/>
              <c:x val="3.3716475095785438E-2"/>
              <c:y val="0.134744294747668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898562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[Data_Booi_J and Ngubane_A.xlsx]Smokers!PivotTable6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The average smoking habits of NWU faculties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Smokers!$R$17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Smokers!$Q$18:$Q$24</c:f>
              <c:strCache>
                <c:ptCount val="6"/>
                <c:pt idx="0">
                  <c:v>Faculty of Economics and Management Sciences </c:v>
                </c:pt>
                <c:pt idx="1">
                  <c:v>Faculty of Health Sciences </c:v>
                </c:pt>
                <c:pt idx="2">
                  <c:v>Faculty of Humanities</c:v>
                </c:pt>
                <c:pt idx="3">
                  <c:v>Faculty of Law</c:v>
                </c:pt>
                <c:pt idx="4">
                  <c:v>Faculty of Natural and Agricultural Sciences</c:v>
                </c:pt>
                <c:pt idx="5">
                  <c:v>Faculty of Theology</c:v>
                </c:pt>
              </c:strCache>
            </c:strRef>
          </c:cat>
          <c:val>
            <c:numRef>
              <c:f>Smokers!$R$18:$R$24</c:f>
              <c:numCache>
                <c:formatCode>General</c:formatCode>
                <c:ptCount val="6"/>
                <c:pt idx="0">
                  <c:v>2</c:v>
                </c:pt>
                <c:pt idx="1">
                  <c:v>3.5</c:v>
                </c:pt>
                <c:pt idx="2">
                  <c:v>1</c:v>
                </c:pt>
                <c:pt idx="3">
                  <c:v>3.5</c:v>
                </c:pt>
                <c:pt idx="4">
                  <c:v>2.3333333333333335</c:v>
                </c:pt>
                <c:pt idx="5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121-4321-AC0D-BEE9993DFF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4128272"/>
        <c:axId val="134132016"/>
      </c:barChart>
      <c:catAx>
        <c:axId val="13412827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Faculty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4132016"/>
        <c:crosses val="autoZero"/>
        <c:auto val="1"/>
        <c:lblAlgn val="ctr"/>
        <c:lblOffset val="100"/>
        <c:noMultiLvlLbl val="0"/>
      </c:catAx>
      <c:valAx>
        <c:axId val="134132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/>
                  <a:t>Average smoking per day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41282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Smoking</a:t>
            </a:r>
            <a:r>
              <a:rPr lang="en-US" baseline="0"/>
              <a:t> students by faculty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v>Smokers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Lit>
              <c:ptCount val="6"/>
              <c:pt idx="0">
                <c:v>Faculty of Economics and Management Sciences </c:v>
              </c:pt>
              <c:pt idx="1">
                <c:v>Faculty of Health Sciences </c:v>
              </c:pt>
              <c:pt idx="2">
                <c:v>Faculty of Humanities</c:v>
              </c:pt>
              <c:pt idx="3">
                <c:v>Faculty of Law</c:v>
              </c:pt>
              <c:pt idx="4">
                <c:v>Faculty of Natural and Agricultural Sciences</c:v>
              </c:pt>
              <c:pt idx="5">
                <c:v>Faculty of Theology</c:v>
              </c:pt>
            </c:strLit>
          </c:cat>
          <c:val>
            <c:numLit>
              <c:formatCode>General</c:formatCode>
              <c:ptCount val="6"/>
              <c:pt idx="0">
                <c:v>0.27272727272727271</c:v>
              </c:pt>
              <c:pt idx="1">
                <c:v>9.0909090909090912E-2</c:v>
              </c:pt>
              <c:pt idx="2">
                <c:v>9.0909090909090912E-2</c:v>
              </c:pt>
              <c:pt idx="3">
                <c:v>0.18181818181818182</c:v>
              </c:pt>
              <c:pt idx="4">
                <c:v>0.27272727272727271</c:v>
              </c:pt>
              <c:pt idx="5">
                <c:v>9.0909090909090912E-2</c:v>
              </c:pt>
            </c:numLit>
          </c:val>
          <c:extLst>
            <c:ext xmlns:c16="http://schemas.microsoft.com/office/drawing/2014/chart" uri="{C3380CC4-5D6E-409C-BE32-E72D297353CC}">
              <c16:uniqueId val="{00000000-C293-0048-898D-0B6A4494A49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67331744"/>
        <c:axId val="1067333456"/>
      </c:barChart>
      <c:catAx>
        <c:axId val="106733174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Faculty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67333456"/>
        <c:crosses val="autoZero"/>
        <c:auto val="1"/>
        <c:lblAlgn val="ctr"/>
        <c:lblOffset val="100"/>
        <c:noMultiLvlLbl val="0"/>
      </c:catAx>
      <c:valAx>
        <c:axId val="10673334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%</a:t>
                </a:r>
                <a:r>
                  <a:rPr lang="en-GB" baseline="0"/>
                  <a:t> of smoking students </a:t>
                </a:r>
                <a:endParaRPr lang="en-GB"/>
              </a:p>
            </c:rich>
          </c:tx>
          <c:layout>
            <c:manualLayout>
              <c:xMode val="edge"/>
              <c:yMode val="edge"/>
              <c:x val="2.0637898686679174E-2"/>
              <c:y val="0.4028811343231542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67331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 b="1"/>
              <a:t>Reasons for not smoking  - NWU students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E47A-4D83-B65D-4D404EBF741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E47A-4D83-B65D-4D404EBF741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E47A-4D83-B65D-4D404EBF7413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E47A-4D83-B65D-4D404EBF7413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E47A-4D83-B65D-4D404EBF7413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E47A-4D83-B65D-4D404EBF7413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'Non-Smokers'!$A$25:$A$30</c:f>
              <c:strCache>
                <c:ptCount val="6"/>
                <c:pt idx="0">
                  <c:v>It's not my cup of tea</c:v>
                </c:pt>
                <c:pt idx="1">
                  <c:v>It destroys the body</c:v>
                </c:pt>
                <c:pt idx="2">
                  <c:v>Societal Standards</c:v>
                </c:pt>
                <c:pt idx="3">
                  <c:v>Existing Health Issues</c:v>
                </c:pt>
                <c:pt idx="4">
                  <c:v>It's a financial liability</c:v>
                </c:pt>
                <c:pt idx="5">
                  <c:v>It smells bad</c:v>
                </c:pt>
              </c:strCache>
            </c:strRef>
          </c:cat>
          <c:val>
            <c:numRef>
              <c:f>'Non-Smokers'!$B$25:$B$30</c:f>
              <c:numCache>
                <c:formatCode>General</c:formatCode>
                <c:ptCount val="6"/>
                <c:pt idx="0">
                  <c:v>17</c:v>
                </c:pt>
                <c:pt idx="1">
                  <c:v>10</c:v>
                </c:pt>
                <c:pt idx="2">
                  <c:v>4</c:v>
                </c:pt>
                <c:pt idx="3">
                  <c:v>9</c:v>
                </c:pt>
                <c:pt idx="4">
                  <c:v>4</c:v>
                </c:pt>
                <c:pt idx="5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613-4C09-8BDB-E059E6168190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3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 b="1"/>
              <a:t>Reasons for not smoking vs Would you try smoking</a:t>
            </a:r>
          </a:p>
        </c:rich>
      </c:tx>
      <c:layout>
        <c:manualLayout>
          <c:xMode val="edge"/>
          <c:yMode val="edge"/>
          <c:x val="0.24669826960370722"/>
          <c:y val="3.711497957653269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'Non-Smokers'!$C$24</c:f>
              <c:strCache>
                <c:ptCount val="1"/>
                <c:pt idx="0">
                  <c:v>Yes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'Non-Smokers'!$A$25:$A$30</c:f>
              <c:strCache>
                <c:ptCount val="6"/>
                <c:pt idx="0">
                  <c:v>It's not my cup of tea</c:v>
                </c:pt>
                <c:pt idx="1">
                  <c:v>It destroys the body</c:v>
                </c:pt>
                <c:pt idx="2">
                  <c:v>Societal Standards</c:v>
                </c:pt>
                <c:pt idx="3">
                  <c:v>Existing Health Issues</c:v>
                </c:pt>
                <c:pt idx="4">
                  <c:v>It's a financial liability</c:v>
                </c:pt>
                <c:pt idx="5">
                  <c:v>It smells bad</c:v>
                </c:pt>
              </c:strCache>
            </c:strRef>
          </c:cat>
          <c:val>
            <c:numRef>
              <c:f>'Non-Smokers'!$C$25:$C$30</c:f>
              <c:numCache>
                <c:formatCode>General</c:formatCode>
                <c:ptCount val="6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2</c:v>
                </c:pt>
                <c:pt idx="4">
                  <c:v>1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D06-40D9-A52C-4F24DCC863B3}"/>
            </c:ext>
          </c:extLst>
        </c:ser>
        <c:ser>
          <c:idx val="1"/>
          <c:order val="1"/>
          <c:tx>
            <c:strRef>
              <c:f>'Non-Smokers'!$D$24</c:f>
              <c:strCache>
                <c:ptCount val="1"/>
                <c:pt idx="0">
                  <c:v>No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'Non-Smokers'!$A$25:$A$30</c:f>
              <c:strCache>
                <c:ptCount val="6"/>
                <c:pt idx="0">
                  <c:v>It's not my cup of tea</c:v>
                </c:pt>
                <c:pt idx="1">
                  <c:v>It destroys the body</c:v>
                </c:pt>
                <c:pt idx="2">
                  <c:v>Societal Standards</c:v>
                </c:pt>
                <c:pt idx="3">
                  <c:v>Existing Health Issues</c:v>
                </c:pt>
                <c:pt idx="4">
                  <c:v>It's a financial liability</c:v>
                </c:pt>
                <c:pt idx="5">
                  <c:v>It smells bad</c:v>
                </c:pt>
              </c:strCache>
            </c:strRef>
          </c:cat>
          <c:val>
            <c:numRef>
              <c:f>'Non-Smokers'!$D$25:$D$30</c:f>
              <c:numCache>
                <c:formatCode>General</c:formatCode>
                <c:ptCount val="6"/>
                <c:pt idx="0">
                  <c:v>11</c:v>
                </c:pt>
                <c:pt idx="1">
                  <c:v>6</c:v>
                </c:pt>
                <c:pt idx="2">
                  <c:v>3</c:v>
                </c:pt>
                <c:pt idx="3">
                  <c:v>6</c:v>
                </c:pt>
                <c:pt idx="4">
                  <c:v>3</c:v>
                </c:pt>
                <c:pt idx="5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D06-40D9-A52C-4F24DCC863B3}"/>
            </c:ext>
          </c:extLst>
        </c:ser>
        <c:ser>
          <c:idx val="2"/>
          <c:order val="2"/>
          <c:tx>
            <c:strRef>
              <c:f>'Non-Smokers'!$E$24</c:f>
              <c:strCache>
                <c:ptCount val="1"/>
                <c:pt idx="0">
                  <c:v>Maybe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'Non-Smokers'!$A$25:$A$30</c:f>
              <c:strCache>
                <c:ptCount val="6"/>
                <c:pt idx="0">
                  <c:v>It's not my cup of tea</c:v>
                </c:pt>
                <c:pt idx="1">
                  <c:v>It destroys the body</c:v>
                </c:pt>
                <c:pt idx="2">
                  <c:v>Societal Standards</c:v>
                </c:pt>
                <c:pt idx="3">
                  <c:v>Existing Health Issues</c:v>
                </c:pt>
                <c:pt idx="4">
                  <c:v>It's a financial liability</c:v>
                </c:pt>
                <c:pt idx="5">
                  <c:v>It smells bad</c:v>
                </c:pt>
              </c:strCache>
            </c:strRef>
          </c:cat>
          <c:val>
            <c:numRef>
              <c:f>'Non-Smokers'!$E$25:$E$30</c:f>
              <c:numCache>
                <c:formatCode>General</c:formatCode>
                <c:ptCount val="6"/>
                <c:pt idx="0">
                  <c:v>5</c:v>
                </c:pt>
                <c:pt idx="1">
                  <c:v>3</c:v>
                </c:pt>
                <c:pt idx="2">
                  <c:v>0</c:v>
                </c:pt>
                <c:pt idx="3">
                  <c:v>1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D06-40D9-A52C-4F24DCC863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408227056"/>
        <c:axId val="1408230800"/>
      </c:barChart>
      <c:catAx>
        <c:axId val="140822705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 b="1"/>
                  <a:t>Reasons for </a:t>
                </a:r>
                <a:r>
                  <a:rPr lang="en-ZA" sz="1200" b="1"/>
                  <a:t>smoking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08230800"/>
        <c:crosses val="autoZero"/>
        <c:auto val="1"/>
        <c:lblAlgn val="ctr"/>
        <c:lblOffset val="100"/>
        <c:noMultiLvlLbl val="0"/>
      </c:catAx>
      <c:valAx>
        <c:axId val="14082308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 sz="1200" b="1"/>
                  <a:t>Amount</a:t>
                </a:r>
                <a:r>
                  <a:rPr lang="en-ZA" sz="1200" b="1" baseline="0"/>
                  <a:t> of students</a:t>
                </a:r>
                <a:endParaRPr lang="en-ZA" sz="1200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082270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Reasons for not smoking vs Students who have tried smoking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'Non-Smokers'!$C$62</c:f>
              <c:strCache>
                <c:ptCount val="1"/>
                <c:pt idx="0">
                  <c:v>Yes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'Non-Smokers'!$A$63:$A$68</c:f>
              <c:strCache>
                <c:ptCount val="6"/>
                <c:pt idx="0">
                  <c:v>It's not my cup of tea</c:v>
                </c:pt>
                <c:pt idx="1">
                  <c:v>It destroys the body</c:v>
                </c:pt>
                <c:pt idx="2">
                  <c:v>Societal Standards</c:v>
                </c:pt>
                <c:pt idx="3">
                  <c:v>Existing Health Issues</c:v>
                </c:pt>
                <c:pt idx="4">
                  <c:v>It's a financial liability</c:v>
                </c:pt>
                <c:pt idx="5">
                  <c:v>It smells bad</c:v>
                </c:pt>
              </c:strCache>
            </c:strRef>
          </c:cat>
          <c:val>
            <c:numRef>
              <c:f>'Non-Smokers'!$C$63:$C$68</c:f>
              <c:numCache>
                <c:formatCode>General</c:formatCode>
                <c:ptCount val="6"/>
                <c:pt idx="0">
                  <c:v>10</c:v>
                </c:pt>
                <c:pt idx="1">
                  <c:v>6</c:v>
                </c:pt>
                <c:pt idx="2">
                  <c:v>1</c:v>
                </c:pt>
                <c:pt idx="3">
                  <c:v>6</c:v>
                </c:pt>
                <c:pt idx="4">
                  <c:v>3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93E-4BBF-838B-C04C268CA13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115738048"/>
        <c:axId val="2115728896"/>
      </c:barChart>
      <c:catAx>
        <c:axId val="211573804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 b="1"/>
                  <a:t>Reasons for not smoking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15728896"/>
        <c:crosses val="autoZero"/>
        <c:auto val="1"/>
        <c:lblAlgn val="ctr"/>
        <c:lblOffset val="100"/>
        <c:noMultiLvlLbl val="0"/>
      </c:catAx>
      <c:valAx>
        <c:axId val="21157288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/>
                  <a:t>Students who have tried smoking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157380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Reasons</a:t>
            </a:r>
            <a:r>
              <a:rPr lang="en-US" b="1" baseline="0"/>
              <a:t> for not smoking of students who have never tried before</a:t>
            </a:r>
            <a:endParaRPr lang="en-US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'Non-Smokers'!$D$62</c:f>
              <c:strCache>
                <c:ptCount val="1"/>
                <c:pt idx="0">
                  <c:v>No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'Non-Smokers'!$A$63:$A$68</c:f>
              <c:strCache>
                <c:ptCount val="6"/>
                <c:pt idx="0">
                  <c:v>It's not my cup of tea</c:v>
                </c:pt>
                <c:pt idx="1">
                  <c:v>It destroys the body</c:v>
                </c:pt>
                <c:pt idx="2">
                  <c:v>Societal Standards</c:v>
                </c:pt>
                <c:pt idx="3">
                  <c:v>Existing Health Issues</c:v>
                </c:pt>
                <c:pt idx="4">
                  <c:v>It's a financial liability</c:v>
                </c:pt>
                <c:pt idx="5">
                  <c:v>It smells bad</c:v>
                </c:pt>
              </c:strCache>
            </c:strRef>
          </c:cat>
          <c:val>
            <c:numRef>
              <c:f>'Non-Smokers'!$D$63:$D$68</c:f>
              <c:numCache>
                <c:formatCode>General</c:formatCode>
                <c:ptCount val="6"/>
                <c:pt idx="0">
                  <c:v>7</c:v>
                </c:pt>
                <c:pt idx="1">
                  <c:v>4</c:v>
                </c:pt>
                <c:pt idx="2">
                  <c:v>3</c:v>
                </c:pt>
                <c:pt idx="3">
                  <c:v>3</c:v>
                </c:pt>
                <c:pt idx="4">
                  <c:v>1</c:v>
                </c:pt>
                <c:pt idx="5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272-40DC-9DF7-B7A2F88BBE7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1100784"/>
        <c:axId val="171101200"/>
      </c:barChart>
      <c:catAx>
        <c:axId val="17110078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 b="1"/>
                  <a:t>Reasons</a:t>
                </a:r>
                <a:r>
                  <a:rPr lang="en-ZA" b="1" baseline="0"/>
                  <a:t> for not smoking</a:t>
                </a:r>
                <a:endParaRPr lang="en-ZA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1101200"/>
        <c:crosses val="autoZero"/>
        <c:auto val="1"/>
        <c:lblAlgn val="ctr"/>
        <c:lblOffset val="100"/>
        <c:noMultiLvlLbl val="0"/>
      </c:catAx>
      <c:valAx>
        <c:axId val="1711012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 b="1"/>
                  <a:t>Students who have not tried smoking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110078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 sz="2000" b="1"/>
              <a:t>Smokers</a:t>
            </a:r>
            <a:r>
              <a:rPr lang="en-ZA" sz="2000" b="1" baseline="0"/>
              <a:t> Vs Stated Awareness</a:t>
            </a:r>
            <a:endParaRPr lang="en-ZA" sz="2000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6762116369117228"/>
          <c:y val="0.11637700178782"/>
          <c:w val="0.6558489904108521"/>
          <c:h val="0.74499543535318957"/>
        </c:manualLayout>
      </c:layout>
      <c:barChart>
        <c:barDir val="col"/>
        <c:grouping val="clustered"/>
        <c:varyColors val="0"/>
        <c:ser>
          <c:idx val="0"/>
          <c:order val="0"/>
          <c:tx>
            <c:v>Neutral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Lit>
              <c:ptCount val="6"/>
              <c:pt idx="0">
                <c:v>F.EMS</c:v>
              </c:pt>
              <c:pt idx="1">
                <c:v>F.HS</c:v>
              </c:pt>
              <c:pt idx="2">
                <c:v>F.HUM</c:v>
              </c:pt>
              <c:pt idx="3">
                <c:v>F.LAW</c:v>
              </c:pt>
              <c:pt idx="4">
                <c:v>F.NAS</c:v>
              </c:pt>
              <c:pt idx="5">
                <c:v>F.THEO</c:v>
              </c:pt>
            </c:strLit>
          </c:cat>
          <c:val>
            <c:numLit>
              <c:formatCode>General</c:formatCode>
              <c:ptCount val="6"/>
              <c:pt idx="0">
                <c:v>0.33333333333333331</c:v>
              </c:pt>
              <c:pt idx="1">
                <c:v>0</c:v>
              </c:pt>
              <c:pt idx="2">
                <c:v>0</c:v>
              </c:pt>
              <c:pt idx="3">
                <c:v>0</c:v>
              </c:pt>
              <c:pt idx="4">
                <c:v>0</c:v>
              </c:pt>
              <c:pt idx="5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0-7380-490F-9E8B-46665DB3DF7C}"/>
            </c:ext>
          </c:extLst>
        </c:ser>
        <c:ser>
          <c:idx val="1"/>
          <c:order val="1"/>
          <c:tx>
            <c:v>Somewhat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Lit>
              <c:ptCount val="6"/>
              <c:pt idx="0">
                <c:v>F.EMS</c:v>
              </c:pt>
              <c:pt idx="1">
                <c:v>F.HS</c:v>
              </c:pt>
              <c:pt idx="2">
                <c:v>F.HUM</c:v>
              </c:pt>
              <c:pt idx="3">
                <c:v>F.LAW</c:v>
              </c:pt>
              <c:pt idx="4">
                <c:v>F.NAS</c:v>
              </c:pt>
              <c:pt idx="5">
                <c:v>F.THEO</c:v>
              </c:pt>
            </c:strLit>
          </c:cat>
          <c:val>
            <c:numLit>
              <c:formatCode>General</c:formatCode>
              <c:ptCount val="6"/>
              <c:pt idx="0">
                <c:v>0.33333333333333331</c:v>
              </c:pt>
              <c:pt idx="1">
                <c:v>1</c:v>
              </c:pt>
              <c:pt idx="2">
                <c:v>0</c:v>
              </c:pt>
              <c:pt idx="3">
                <c:v>0.5</c:v>
              </c:pt>
              <c:pt idx="4">
                <c:v>0.33333333333333331</c:v>
              </c:pt>
              <c:pt idx="5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1-7380-490F-9E8B-46665DB3DF7C}"/>
            </c:ext>
          </c:extLst>
        </c:ser>
        <c:ser>
          <c:idx val="2"/>
          <c:order val="2"/>
          <c:tx>
            <c:v>Very well</c:v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Lit>
              <c:ptCount val="6"/>
              <c:pt idx="0">
                <c:v>F.EMS</c:v>
              </c:pt>
              <c:pt idx="1">
                <c:v>F.HS</c:v>
              </c:pt>
              <c:pt idx="2">
                <c:v>F.HUM</c:v>
              </c:pt>
              <c:pt idx="3">
                <c:v>F.LAW</c:v>
              </c:pt>
              <c:pt idx="4">
                <c:v>F.NAS</c:v>
              </c:pt>
              <c:pt idx="5">
                <c:v>F.THEO</c:v>
              </c:pt>
            </c:strLit>
          </c:cat>
          <c:val>
            <c:numLit>
              <c:formatCode>General</c:formatCode>
              <c:ptCount val="6"/>
              <c:pt idx="0">
                <c:v>0.33333333333333331</c:v>
              </c:pt>
              <c:pt idx="1">
                <c:v>0</c:v>
              </c:pt>
              <c:pt idx="2">
                <c:v>1</c:v>
              </c:pt>
              <c:pt idx="3">
                <c:v>0.5</c:v>
              </c:pt>
              <c:pt idx="4">
                <c:v>0.66666666666666663</c:v>
              </c:pt>
              <c:pt idx="5">
                <c:v>1</c:v>
              </c:pt>
            </c:numLit>
          </c:val>
          <c:extLst>
            <c:ext xmlns:c16="http://schemas.microsoft.com/office/drawing/2014/chart" uri="{C3380CC4-5D6E-409C-BE32-E72D297353CC}">
              <c16:uniqueId val="{00000002-7380-490F-9E8B-46665DB3DF7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600284208"/>
        <c:axId val="1600286608"/>
      </c:barChart>
      <c:catAx>
        <c:axId val="160028420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Faculty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00286608"/>
        <c:crosses val="autoZero"/>
        <c:auto val="1"/>
        <c:lblAlgn val="ctr"/>
        <c:lblOffset val="100"/>
        <c:noMultiLvlLbl val="0"/>
      </c:catAx>
      <c:valAx>
        <c:axId val="1600286608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Awareness Level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002842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withinLinear" id="15">
  <a:schemeClr val="accent2"/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Relationship Id="rId5" Type="http://schemas.openxmlformats.org/officeDocument/2006/relationships/chart" Target="../charts/chart8.xml"/><Relationship Id="rId4" Type="http://schemas.openxmlformats.org/officeDocument/2006/relationships/chart" Target="../charts/chart7.xml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6.xml"/><Relationship Id="rId3" Type="http://schemas.openxmlformats.org/officeDocument/2006/relationships/chart" Target="../charts/chart11.xml"/><Relationship Id="rId7" Type="http://schemas.openxmlformats.org/officeDocument/2006/relationships/chart" Target="../charts/chart15.xml"/><Relationship Id="rId2" Type="http://schemas.openxmlformats.org/officeDocument/2006/relationships/chart" Target="../charts/chart10.xml"/><Relationship Id="rId1" Type="http://schemas.openxmlformats.org/officeDocument/2006/relationships/chart" Target="../charts/chart9.xml"/><Relationship Id="rId6" Type="http://schemas.openxmlformats.org/officeDocument/2006/relationships/chart" Target="../charts/chart14.xml"/><Relationship Id="rId5" Type="http://schemas.openxmlformats.org/officeDocument/2006/relationships/chart" Target="../charts/chart13.xml"/><Relationship Id="rId4" Type="http://schemas.openxmlformats.org/officeDocument/2006/relationships/chart" Target="../charts/chart12.xml"/><Relationship Id="rId9" Type="http://schemas.openxmlformats.org/officeDocument/2006/relationships/chart" Target="../charts/chart17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0.xml"/><Relationship Id="rId2" Type="http://schemas.openxmlformats.org/officeDocument/2006/relationships/chart" Target="../charts/chart19.xml"/><Relationship Id="rId1" Type="http://schemas.openxmlformats.org/officeDocument/2006/relationships/chart" Target="../charts/chart18.xml"/><Relationship Id="rId4" Type="http://schemas.openxmlformats.org/officeDocument/2006/relationships/chart" Target="../charts/chart21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chart" Target="../charts/chart2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215900</xdr:colOff>
      <xdr:row>0</xdr:row>
      <xdr:rowOff>6350</xdr:rowOff>
    </xdr:from>
    <xdr:to>
      <xdr:col>7</xdr:col>
      <xdr:colOff>393700</xdr:colOff>
      <xdr:row>14</xdr:row>
      <xdr:rowOff>38100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51B6A24-ADD9-8B04-4D1A-37C728CFB0F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50</xdr:row>
      <xdr:rowOff>0</xdr:rowOff>
    </xdr:from>
    <xdr:to>
      <xdr:col>3</xdr:col>
      <xdr:colOff>1577340</xdr:colOff>
      <xdr:row>64</xdr:row>
      <xdr:rowOff>7620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1B70122-520A-0947-9DDB-4EDF5B9B0E1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406400</xdr:colOff>
      <xdr:row>15</xdr:row>
      <xdr:rowOff>120650</xdr:rowOff>
    </xdr:from>
    <xdr:to>
      <xdr:col>9</xdr:col>
      <xdr:colOff>609600</xdr:colOff>
      <xdr:row>32</xdr:row>
      <xdr:rowOff>139700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23121298-0B54-D8F5-812F-00659A7C440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209550</xdr:colOff>
      <xdr:row>0</xdr:row>
      <xdr:rowOff>82550</xdr:rowOff>
    </xdr:from>
    <xdr:to>
      <xdr:col>7</xdr:col>
      <xdr:colOff>781050</xdr:colOff>
      <xdr:row>14</xdr:row>
      <xdr:rowOff>158750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56695B8-2773-0843-26FD-4BCA854AC48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152400</xdr:colOff>
      <xdr:row>16</xdr:row>
      <xdr:rowOff>158750</xdr:rowOff>
    </xdr:from>
    <xdr:to>
      <xdr:col>11</xdr:col>
      <xdr:colOff>800100</xdr:colOff>
      <xdr:row>35</xdr:row>
      <xdr:rowOff>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5540202E-28D8-BB19-DD21-9450FC71473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280986</xdr:colOff>
      <xdr:row>36</xdr:row>
      <xdr:rowOff>66676</xdr:rowOff>
    </xdr:from>
    <xdr:to>
      <xdr:col>11</xdr:col>
      <xdr:colOff>733424</xdr:colOff>
      <xdr:row>57</xdr:row>
      <xdr:rowOff>114300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60091AE-D693-4CA4-BFBF-DD3BB78CA70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5</xdr:col>
      <xdr:colOff>509587</xdr:colOff>
      <xdr:row>59</xdr:row>
      <xdr:rowOff>90487</xdr:rowOff>
    </xdr:from>
    <xdr:to>
      <xdr:col>8</xdr:col>
      <xdr:colOff>1652587</xdr:colOff>
      <xdr:row>73</xdr:row>
      <xdr:rowOff>166687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8354C73E-4207-4C21-8FA5-6822F5AB145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4</xdr:col>
      <xdr:colOff>442911</xdr:colOff>
      <xdr:row>82</xdr:row>
      <xdr:rowOff>166686</xdr:rowOff>
    </xdr:from>
    <xdr:to>
      <xdr:col>8</xdr:col>
      <xdr:colOff>1638299</xdr:colOff>
      <xdr:row>100</xdr:row>
      <xdr:rowOff>95249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D6443298-E747-46A5-ACC3-6E49E720447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690562</xdr:colOff>
      <xdr:row>16</xdr:row>
      <xdr:rowOff>158350</xdr:rowOff>
    </xdr:from>
    <xdr:to>
      <xdr:col>6</xdr:col>
      <xdr:colOff>1698625</xdr:colOff>
      <xdr:row>35</xdr:row>
      <xdr:rowOff>178592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B1D89D2-3504-433E-817F-45E18FBDA06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583407</xdr:colOff>
      <xdr:row>36</xdr:row>
      <xdr:rowOff>95250</xdr:rowOff>
    </xdr:from>
    <xdr:to>
      <xdr:col>8</xdr:col>
      <xdr:colOff>3226594</xdr:colOff>
      <xdr:row>53</xdr:row>
      <xdr:rowOff>178594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C5569FC-86C0-4310-97C6-2C6D2420C2E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404811</xdr:colOff>
      <xdr:row>55</xdr:row>
      <xdr:rowOff>154781</xdr:rowOff>
    </xdr:from>
    <xdr:to>
      <xdr:col>8</xdr:col>
      <xdr:colOff>2774155</xdr:colOff>
      <xdr:row>78</xdr:row>
      <xdr:rowOff>23812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E9D4624A-2416-4407-85C7-9A6E84FDB07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23811</xdr:colOff>
      <xdr:row>48</xdr:row>
      <xdr:rowOff>182164</xdr:rowOff>
    </xdr:from>
    <xdr:to>
      <xdr:col>12</xdr:col>
      <xdr:colOff>2547938</xdr:colOff>
      <xdr:row>71</xdr:row>
      <xdr:rowOff>47624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3B8EA335-95C8-4695-8FF3-9EFD1CD76B5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9</xdr:col>
      <xdr:colOff>1416844</xdr:colOff>
      <xdr:row>23</xdr:row>
      <xdr:rowOff>0</xdr:rowOff>
    </xdr:from>
    <xdr:to>
      <xdr:col>14</xdr:col>
      <xdr:colOff>130969</xdr:colOff>
      <xdr:row>39</xdr:row>
      <xdr:rowOff>186927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BB4CB6E6-F0F7-421A-8247-A402A5551F3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4</xdr:col>
      <xdr:colOff>428624</xdr:colOff>
      <xdr:row>80</xdr:row>
      <xdr:rowOff>75008</xdr:rowOff>
    </xdr:from>
    <xdr:to>
      <xdr:col>8</xdr:col>
      <xdr:colOff>2690812</xdr:colOff>
      <xdr:row>100</xdr:row>
      <xdr:rowOff>178594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61D4130F-B334-40C5-B9B0-B694330F329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9</xdr:col>
      <xdr:colOff>1238250</xdr:colOff>
      <xdr:row>83</xdr:row>
      <xdr:rowOff>27383</xdr:rowOff>
    </xdr:from>
    <xdr:to>
      <xdr:col>12</xdr:col>
      <xdr:colOff>2452688</xdr:colOff>
      <xdr:row>102</xdr:row>
      <xdr:rowOff>71437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59EB8A16-53F5-4994-B9BC-46878C3DC22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16</xdr:col>
      <xdr:colOff>47625</xdr:colOff>
      <xdr:row>26</xdr:row>
      <xdr:rowOff>146445</xdr:rowOff>
    </xdr:from>
    <xdr:to>
      <xdr:col>17</xdr:col>
      <xdr:colOff>4691063</xdr:colOff>
      <xdr:row>46</xdr:row>
      <xdr:rowOff>130968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9E491B26-6101-4C4C-8628-3323044D240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4</xdr:col>
      <xdr:colOff>304800</xdr:colOff>
      <xdr:row>112</xdr:row>
      <xdr:rowOff>38100</xdr:rowOff>
    </xdr:from>
    <xdr:to>
      <xdr:col>10</xdr:col>
      <xdr:colOff>88900</xdr:colOff>
      <xdr:row>130</xdr:row>
      <xdr:rowOff>50800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B8847F7-9B5F-FF42-94A4-6A14AAF41AA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135904</xdr:colOff>
      <xdr:row>22</xdr:row>
      <xdr:rowOff>4878</xdr:rowOff>
    </xdr:from>
    <xdr:to>
      <xdr:col>8</xdr:col>
      <xdr:colOff>1963079</xdr:colOff>
      <xdr:row>42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EE0CFCB-324E-40DA-98C5-5123B815E9B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952500</xdr:colOff>
      <xdr:row>32</xdr:row>
      <xdr:rowOff>121035</xdr:rowOff>
    </xdr:from>
    <xdr:to>
      <xdr:col>4</xdr:col>
      <xdr:colOff>2553166</xdr:colOff>
      <xdr:row>51</xdr:row>
      <xdr:rowOff>11614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F0BEB5E-5D69-4F74-AFC4-BC0B7704FFC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1094213</xdr:colOff>
      <xdr:row>54</xdr:row>
      <xdr:rowOff>132652</xdr:rowOff>
    </xdr:from>
    <xdr:to>
      <xdr:col>6</xdr:col>
      <xdr:colOff>1300975</xdr:colOff>
      <xdr:row>71</xdr:row>
      <xdr:rowOff>162622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8508023-199D-407E-883C-043F15C559C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6</xdr:col>
      <xdr:colOff>1431073</xdr:colOff>
      <xdr:row>54</xdr:row>
      <xdr:rowOff>104543</xdr:rowOff>
    </xdr:from>
    <xdr:to>
      <xdr:col>10</xdr:col>
      <xdr:colOff>778262</xdr:colOff>
      <xdr:row>71</xdr:row>
      <xdr:rowOff>122895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828237C-0797-4381-80E4-9367A5253C4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0</xdr:rowOff>
    </xdr:from>
    <xdr:to>
      <xdr:col>11</xdr:col>
      <xdr:colOff>304800</xdr:colOff>
      <xdr:row>22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33E553C-842D-0C53-69B3-F379009F1C8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16</xdr:col>
      <xdr:colOff>1</xdr:colOff>
      <xdr:row>2</xdr:row>
      <xdr:rowOff>0</xdr:rowOff>
    </xdr:from>
    <xdr:to>
      <xdr:col>25</xdr:col>
      <xdr:colOff>571501</xdr:colOff>
      <xdr:row>26</xdr:row>
      <xdr:rowOff>157923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B3582594-035D-46F9-B9BE-FCF5423F9A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753601" y="381000"/>
          <a:ext cx="6057900" cy="4729923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A Ngubane" id="{A4E4A9B3-1B51-354B-8585-A16B603D7691}" userId="S::49716689@mynwu.ac.za::5afccb15-84da-468d-9c66-390f2f0e38f2" providerId="AD"/>
</personList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_rels/pivotCacheDefinition5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5.xml"/></Relationships>
</file>

<file path=xl/pivotCache/_rels/pivotCacheDefinition6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6.xml"/></Relationships>
</file>

<file path=xl/pivotCache/_rels/pivotCacheDefinition7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7.xml"/></Relationships>
</file>

<file path=xl/pivotCache/_rels/pivotCacheDefinition8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8.xml"/></Relationships>
</file>

<file path=xl/pivotCache/_rels/pivotCacheDefinition9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9.xml"/></Relationships>
</file>

<file path=xl/pivotCache/_rels/pivotCacheDefinition10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0.xml"/></Relationships>
</file>

<file path=xl/pivotCache/_rels/pivotCacheDefinition1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rommi/AppData/Roaming/Microsoft/Excel/Between%20The%20Puff%20And%20The%20Facts_%20Smoking%20Knowledge%20and%20Practice%20Amongst%20NWU%20VPC%20Undergrads%20(version%201).xlsb" TargetMode="External"/><Relationship Id="rId1" Type="http://schemas.openxmlformats.org/officeDocument/2006/relationships/pivotCacheRecords" Target="pivotCacheRecords11.xml"/></Relationships>
</file>

<file path=xl/pivotCache/_rels/pivotCacheDefinition1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2.xml"/></Relationships>
</file>

<file path=xl/pivotCache/_rels/pivotCacheDefinition13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elengubane/Downloads/Between%20The%20Puff%20And%20The%20Facts_%20Smoking%20Knowledge%20and%20Practice%20Amongst%20NWU%20VPC%20Undergrads%20(versio.xlsx" TargetMode="External"/><Relationship Id="rId1" Type="http://schemas.openxmlformats.org/officeDocument/2006/relationships/pivotCacheRecords" Target="pivotCacheRecords1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nele Ngubane" refreshedDate="45781.728794907409" createdVersion="8" refreshedVersion="8" minRefreshableVersion="3" recordCount="29" xr:uid="{DDA47087-A1CA-7B40-AACE-721EEAF8D7B0}">
  <cacheSource type="worksheet">
    <worksheetSource ref="Q1:Q32" sheet="Data"/>
  </cacheSource>
  <cacheFields count="1">
    <cacheField name="Do you smoke?" numFmtId="0">
      <sharedItems containsSemiMixedTypes="0" containsString="0" containsNumber="1" containsInteger="1" minValue="0" maxValue="1" count="2">
        <n v="1"/>
        <n v="0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nele Ngubane" refreshedDate="45781.736845833337" createdVersion="8" refreshedVersion="8" minRefreshableVersion="3" recordCount="29" xr:uid="{F59ACD63-1464-1B40-9C8C-EA60902DDD7B}">
  <cacheSource type="worksheet">
    <worksheetSource name="$I$1:$I$30:Data!$R$1:$R$30" sheet="Data"/>
  </cacheSource>
  <cacheFields count="10">
    <cacheField name="Faculty" numFmtId="0">
      <sharedItems count="7">
        <s v="Faculty of Natural and Agricultural Sciences"/>
        <s v="Faculty of Economics and Management Sciences "/>
        <s v="Faculty of Humanities"/>
        <s v="Faculty of Law"/>
        <s v="Faculty of Theology"/>
        <s v="Faculty of Education"/>
        <s v="Faculty of Health Sciences "/>
      </sharedItems>
    </cacheField>
    <cacheField name="What year of study are you in?" numFmtId="0">
      <sharedItems/>
    </cacheField>
    <cacheField name="Rate your knowledge" numFmtId="0">
      <sharedItems containsSemiMixedTypes="0" containsString="0" containsNumber="1" containsInteger="1" minValue="1" maxValue="3"/>
    </cacheField>
    <cacheField name="Fertility Issues" numFmtId="0">
      <sharedItems containsSemiMixedTypes="0" containsString="0" containsNumber="1" containsInteger="1" minValue="0" maxValue="1"/>
    </cacheField>
    <cacheField name="Lung, Mouth and Throat Cancer" numFmtId="0">
      <sharedItems containsSemiMixedTypes="0" containsString="0" containsNumber="1" containsInteger="1" minValue="1" maxValue="1"/>
    </cacheField>
    <cacheField name="Erectile Dysfunction" numFmtId="0">
      <sharedItems containsSemiMixedTypes="0" containsString="0" containsNumber="1" containsInteger="1" minValue="0" maxValue="1"/>
    </cacheField>
    <cacheField name="Cardiovascular Disease" numFmtId="0">
      <sharedItems containsSemiMixedTypes="0" containsString="0" containsNumber="1" containsInteger="1" minValue="0" maxValue="1"/>
    </cacheField>
    <cacheField name="Respiratory Illnesses " numFmtId="0">
      <sharedItems containsSemiMixedTypes="0" containsString="0" containsNumber="1" containsInteger="1" minValue="0" maxValue="1"/>
    </cacheField>
    <cacheField name="Type 2 Diabetes" numFmtId="0">
      <sharedItems containsSemiMixedTypes="0" containsString="0" containsNumber="1" containsInteger="1" minValue="0" maxValue="1"/>
    </cacheField>
    <cacheField name="Do you smoke?" numFmtId="0">
      <sharedItems containsSemiMixedTypes="0" containsString="0" containsNumber="1" containsInteger="1" minValue="0" maxValue="1" count="2">
        <n v="1"/>
        <n v="0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YSTEM" refreshedDate="45781.970421180558" createdVersion="7" refreshedVersion="7" minRefreshableVersion="3" recordCount="29" xr:uid="{DD41E2BB-EA5F-4853-AB82-8B28CB877984}">
  <cacheSource type="worksheet">
    <worksheetSource ref="A1:Z32" sheet="Data"/>
  </cacheSource>
  <cacheFields count="28">
    <cacheField name="ID" numFmtId="0">
      <sharedItems containsSemiMixedTypes="0" containsString="0" containsNumber="1" containsInteger="1" minValue="1" maxValue="30"/>
    </cacheField>
    <cacheField name="Start time" numFmtId="164">
      <sharedItems containsSemiMixedTypes="0" containsNonDate="0" containsDate="1" containsString="0" minDate="2025-04-30T22:53:22" maxDate="2025-05-04T00:53:34"/>
    </cacheField>
    <cacheField name="Completion time" numFmtId="164">
      <sharedItems containsSemiMixedTypes="0" containsNonDate="0" containsDate="1" containsString="0" minDate="2025-04-30T22:55:23" maxDate="2025-05-04T00:54:52"/>
    </cacheField>
    <cacheField name="Email" numFmtId="0">
      <sharedItems/>
    </cacheField>
    <cacheField name="Name" numFmtId="0">
      <sharedItems containsNonDate="0" containsString="0" containsBlank="1"/>
    </cacheField>
    <cacheField name="Last modified time" numFmtId="164">
      <sharedItems containsNonDate="0" containsString="0" containsBlank="1"/>
    </cacheField>
    <cacheField name="What is your gender?" numFmtId="0">
      <sharedItems containsSemiMixedTypes="0" containsString="0" containsNumber="1" containsInteger="1" minValue="1" maxValue="3" count="3">
        <n v="1"/>
        <n v="2"/>
        <n v="3"/>
      </sharedItems>
    </cacheField>
    <cacheField name="How old are you?" numFmtId="0">
      <sharedItems containsSemiMixedTypes="0" containsString="0" containsNumber="1" containsInteger="1" minValue="18" maxValue="31"/>
    </cacheField>
    <cacheField name="Faculty" numFmtId="0">
      <sharedItems/>
    </cacheField>
    <cacheField name="What year of study are you in?" numFmtId="0">
      <sharedItems/>
    </cacheField>
    <cacheField name="Rate your knowledge" numFmtId="0">
      <sharedItems containsSemiMixedTypes="0" containsString="0" containsNumber="1" containsInteger="1" minValue="1" maxValue="3"/>
    </cacheField>
    <cacheField name="Fertility Issues" numFmtId="0">
      <sharedItems containsSemiMixedTypes="0" containsString="0" containsNumber="1" containsInteger="1" minValue="0" maxValue="1"/>
    </cacheField>
    <cacheField name="Lung, Mouth and Throat Cancer" numFmtId="0">
      <sharedItems containsSemiMixedTypes="0" containsString="0" containsNumber="1" containsInteger="1" minValue="1" maxValue="1"/>
    </cacheField>
    <cacheField name="Erectile Dysfunction" numFmtId="0">
      <sharedItems containsSemiMixedTypes="0" containsString="0" containsNumber="1" containsInteger="1" minValue="0" maxValue="1"/>
    </cacheField>
    <cacheField name="Cardiovascular Disease" numFmtId="0">
      <sharedItems containsSemiMixedTypes="0" containsString="0" containsNumber="1" containsInteger="1" minValue="0" maxValue="1"/>
    </cacheField>
    <cacheField name="Respiratory Illnesses " numFmtId="0">
      <sharedItems containsSemiMixedTypes="0" containsString="0" containsNumber="1" containsInteger="1" minValue="0" maxValue="1"/>
    </cacheField>
    <cacheField name="Type 2 Diabetes" numFmtId="0">
      <sharedItems containsSemiMixedTypes="0" containsString="0" containsNumber="1" containsInteger="1" minValue="0" maxValue="1"/>
    </cacheField>
    <cacheField name="Do you smoke?" numFmtId="0">
      <sharedItems containsSemiMixedTypes="0" containsString="0" containsNumber="1" containsInteger="1" minValue="0" maxValue="1" count="2">
        <n v="1"/>
        <n v="0"/>
      </sharedItems>
    </cacheField>
    <cacheField name="How Often?" numFmtId="0">
      <sharedItems containsBlank="1"/>
    </cacheField>
    <cacheField name="How many joints or cigarettes do you smoke on average a day?" numFmtId="0">
      <sharedItems containsString="0" containsBlank="1" containsNumber="1" containsInteger="1" minValue="1" maxValue="6"/>
    </cacheField>
    <cacheField name="Type of product" numFmtId="0">
      <sharedItems containsBlank="1"/>
    </cacheField>
    <cacheField name="For how long have you been smoking?" numFmtId="0">
      <sharedItems containsBlank="1"/>
    </cacheField>
    <cacheField name="Why did you start" numFmtId="0">
      <sharedItems containsBlank="1"/>
    </cacheField>
    <cacheField name="Why do you continue smoking?" numFmtId="0">
      <sharedItems containsBlank="1"/>
    </cacheField>
    <cacheField name="Why don't you smoke?" numFmtId="0">
      <sharedItems containsBlank="1"/>
    </cacheField>
    <cacheField name="Why don't you smoke?2" numFmtId="0">
      <sharedItems containsBlank="1"/>
    </cacheField>
    <cacheField name="Have you tried it before" numFmtId="0">
      <sharedItems containsBlank="1"/>
    </cacheField>
    <cacheField name="Would you try it?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YSTEM" refreshedDate="45782.426197916669" createdVersion="7" refreshedVersion="7" minRefreshableVersion="3" recordCount="29" xr:uid="{1D7939DE-1CA2-4BEB-A938-F14CA58A9244}">
  <cacheSource type="worksheet">
    <worksheetSource name="Table1"/>
  </cacheSource>
  <cacheFields count="30">
    <cacheField name="ID" numFmtId="0">
      <sharedItems containsSemiMixedTypes="0" containsString="0" containsNumber="1" containsInteger="1" minValue="1" maxValue="30"/>
    </cacheField>
    <cacheField name="Start time" numFmtId="164">
      <sharedItems containsSemiMixedTypes="0" containsNonDate="0" containsDate="1" containsString="0" minDate="2025-04-30T22:53:22" maxDate="2025-05-04T00:53:34" count="28">
        <d v="2025-04-30T22:53:22"/>
        <d v="2025-04-30T22:59:04"/>
        <d v="2025-04-30T23:17:39"/>
        <d v="2025-04-30T23:39:23"/>
        <d v="2025-05-01T03:03:27"/>
        <d v="2025-05-01T05:58:31"/>
        <d v="2025-05-01T06:05:46"/>
        <d v="2025-05-01T08:27:10"/>
        <d v="2025-05-01T08:41:43"/>
        <d v="2025-05-01T09:13:15"/>
        <d v="2025-05-01T13:19:39"/>
        <d v="2025-05-01T13:24:57"/>
        <d v="2025-05-01T13:57:02"/>
        <d v="2025-05-01T14:18:56"/>
        <d v="2025-05-01T14:19:03"/>
        <d v="2025-05-01T14:32:12"/>
        <d v="2025-05-01T15:03:58"/>
        <d v="2025-05-01T15:56:11"/>
        <d v="2025-05-01T18:11:56"/>
        <d v="2025-05-01T19:05:44"/>
        <d v="2025-05-01T19:51:01"/>
        <d v="2025-05-02T01:47:27"/>
        <d v="2025-05-02T18:58:49"/>
        <d v="2025-05-03T03:47:22"/>
        <d v="2025-05-03T03:52:10"/>
        <d v="2025-05-03T12:43:55"/>
        <d v="2025-05-04T00:30:04"/>
        <d v="2025-05-04T00:53:34"/>
      </sharedItems>
      <fieldGroup par="28" base="1">
        <rangePr groupBy="days" startDate="2025-04-30T22:53:22" endDate="2025-05-04T00:53:34"/>
        <groupItems count="368">
          <s v="&lt;2025/04/30"/>
          <s v="01-Jan"/>
          <s v="02-Jan"/>
          <s v="03-Jan"/>
          <s v="04-Jan"/>
          <s v="05-Jan"/>
          <s v="06-Jan"/>
          <s v="07-Jan"/>
          <s v="08-Jan"/>
          <s v="09-Jan"/>
          <s v="10-Jan"/>
          <s v="11-Jan"/>
          <s v="12-Jan"/>
          <s v="13-Jan"/>
          <s v="14-Jan"/>
          <s v="15-Jan"/>
          <s v="16-Jan"/>
          <s v="17-Jan"/>
          <s v="18-Jan"/>
          <s v="19-Jan"/>
          <s v="20-Jan"/>
          <s v="21-Jan"/>
          <s v="22-Jan"/>
          <s v="23-Jan"/>
          <s v="24-Jan"/>
          <s v="25-Jan"/>
          <s v="26-Jan"/>
          <s v="27-Jan"/>
          <s v="28-Jan"/>
          <s v="29-Jan"/>
          <s v="30-Jan"/>
          <s v="31-Jan"/>
          <s v="01-Feb"/>
          <s v="02-Feb"/>
          <s v="03-Feb"/>
          <s v="04-Feb"/>
          <s v="05-Feb"/>
          <s v="06-Feb"/>
          <s v="07-Feb"/>
          <s v="08-Feb"/>
          <s v="09-Feb"/>
          <s v="10-Feb"/>
          <s v="11-Feb"/>
          <s v="12-Feb"/>
          <s v="13-Feb"/>
          <s v="14-Feb"/>
          <s v="15-Feb"/>
          <s v="16-Feb"/>
          <s v="17-Feb"/>
          <s v="18-Feb"/>
          <s v="19-Feb"/>
          <s v="20-Feb"/>
          <s v="21-Feb"/>
          <s v="22-Feb"/>
          <s v="23-Feb"/>
          <s v="24-Feb"/>
          <s v="25-Feb"/>
          <s v="26-Feb"/>
          <s v="27-Feb"/>
          <s v="28-Feb"/>
          <s v="29-Feb"/>
          <s v="01-Mar"/>
          <s v="02-Mar"/>
          <s v="03-Mar"/>
          <s v="04-Mar"/>
          <s v="05-Mar"/>
          <s v="06-Mar"/>
          <s v="07-Mar"/>
          <s v="08-Mar"/>
          <s v="09-Mar"/>
          <s v="10-Mar"/>
          <s v="11-Mar"/>
          <s v="12-Mar"/>
          <s v="13-Mar"/>
          <s v="14-Mar"/>
          <s v="15-Mar"/>
          <s v="16-Mar"/>
          <s v="17-Mar"/>
          <s v="18-Mar"/>
          <s v="19-Mar"/>
          <s v="20-Mar"/>
          <s v="21-Mar"/>
          <s v="22-Mar"/>
          <s v="23-Mar"/>
          <s v="24-Mar"/>
          <s v="25-Mar"/>
          <s v="26-Mar"/>
          <s v="27-Mar"/>
          <s v="28-Mar"/>
          <s v="29-Mar"/>
          <s v="30-Mar"/>
          <s v="31-Mar"/>
          <s v="01-Apr"/>
          <s v="02-Apr"/>
          <s v="03-Apr"/>
          <s v="04-Apr"/>
          <s v="05-Apr"/>
          <s v="06-Apr"/>
          <s v="07-Apr"/>
          <s v="08-Apr"/>
          <s v="09-Apr"/>
          <s v="10-Apr"/>
          <s v="11-Apr"/>
          <s v="12-Apr"/>
          <s v="13-Apr"/>
          <s v="14-Apr"/>
          <s v="15-Apr"/>
          <s v="16-Apr"/>
          <s v="17-Apr"/>
          <s v="18-Apr"/>
          <s v="19-Apr"/>
          <s v="20-Apr"/>
          <s v="21-Apr"/>
          <s v="22-Apr"/>
          <s v="23-Apr"/>
          <s v="24-Apr"/>
          <s v="25-Apr"/>
          <s v="26-Apr"/>
          <s v="27-Apr"/>
          <s v="28-Apr"/>
          <s v="29-Apr"/>
          <s v="30-Apr"/>
          <s v="01-May"/>
          <s v="02-May"/>
          <s v="03-May"/>
          <s v="04-May"/>
          <s v="05-May"/>
          <s v="06-May"/>
          <s v="07-May"/>
          <s v="08-May"/>
          <s v="09-May"/>
          <s v="10-May"/>
          <s v="11-May"/>
          <s v="12-May"/>
          <s v="13-May"/>
          <s v="14-May"/>
          <s v="15-May"/>
          <s v="16-May"/>
          <s v="17-May"/>
          <s v="18-May"/>
          <s v="19-May"/>
          <s v="20-May"/>
          <s v="21-May"/>
          <s v="22-May"/>
          <s v="23-May"/>
          <s v="24-May"/>
          <s v="25-May"/>
          <s v="26-May"/>
          <s v="27-May"/>
          <s v="28-May"/>
          <s v="29-May"/>
          <s v="30-May"/>
          <s v="31-May"/>
          <s v="01-Jun"/>
          <s v="02-Jun"/>
          <s v="03-Jun"/>
          <s v="04-Jun"/>
          <s v="05-Jun"/>
          <s v="06-Jun"/>
          <s v="07-Jun"/>
          <s v="08-Jun"/>
          <s v="09-Jun"/>
          <s v="10-Jun"/>
          <s v="11-Jun"/>
          <s v="12-Jun"/>
          <s v="13-Jun"/>
          <s v="14-Jun"/>
          <s v="15-Jun"/>
          <s v="16-Jun"/>
          <s v="17-Jun"/>
          <s v="18-Jun"/>
          <s v="19-Jun"/>
          <s v="20-Jun"/>
          <s v="21-Jun"/>
          <s v="22-Jun"/>
          <s v="23-Jun"/>
          <s v="24-Jun"/>
          <s v="25-Jun"/>
          <s v="26-Jun"/>
          <s v="27-Jun"/>
          <s v="28-Jun"/>
          <s v="29-Jun"/>
          <s v="30-Jun"/>
          <s v="01-Jul"/>
          <s v="02-Jul"/>
          <s v="03-Jul"/>
          <s v="04-Jul"/>
          <s v="05-Jul"/>
          <s v="06-Jul"/>
          <s v="07-Jul"/>
          <s v="08-Jul"/>
          <s v="09-Jul"/>
          <s v="10-Jul"/>
          <s v="11-Jul"/>
          <s v="12-Jul"/>
          <s v="13-Jul"/>
          <s v="14-Jul"/>
          <s v="15-Jul"/>
          <s v="16-Jul"/>
          <s v="17-Jul"/>
          <s v="18-Jul"/>
          <s v="19-Jul"/>
          <s v="20-Jul"/>
          <s v="21-Jul"/>
          <s v="22-Jul"/>
          <s v="23-Jul"/>
          <s v="24-Jul"/>
          <s v="25-Jul"/>
          <s v="26-Jul"/>
          <s v="27-Jul"/>
          <s v="28-Jul"/>
          <s v="29-Jul"/>
          <s v="30-Jul"/>
          <s v="31-Jul"/>
          <s v="01-Aug"/>
          <s v="02-Aug"/>
          <s v="03-Aug"/>
          <s v="04-Aug"/>
          <s v="05-Aug"/>
          <s v="06-Aug"/>
          <s v="07-Aug"/>
          <s v="08-Aug"/>
          <s v="09-Aug"/>
          <s v="10-Aug"/>
          <s v="11-Aug"/>
          <s v="12-Aug"/>
          <s v="13-Aug"/>
          <s v="14-Aug"/>
          <s v="15-Aug"/>
          <s v="16-Aug"/>
          <s v="17-Aug"/>
          <s v="18-Aug"/>
          <s v="19-Aug"/>
          <s v="20-Aug"/>
          <s v="21-Aug"/>
          <s v="22-Aug"/>
          <s v="23-Aug"/>
          <s v="24-Aug"/>
          <s v="25-Aug"/>
          <s v="26-Aug"/>
          <s v="27-Aug"/>
          <s v="28-Aug"/>
          <s v="29-Aug"/>
          <s v="30-Aug"/>
          <s v="31-Aug"/>
          <s v="01-Sep"/>
          <s v="02-Sep"/>
          <s v="03-Sep"/>
          <s v="04-Sep"/>
          <s v="05-Sep"/>
          <s v="06-Sep"/>
          <s v="07-Sep"/>
          <s v="08-Sep"/>
          <s v="09-Sep"/>
          <s v="10-Sep"/>
          <s v="11-Sep"/>
          <s v="12-Sep"/>
          <s v="13-Sep"/>
          <s v="14-Sep"/>
          <s v="15-Sep"/>
          <s v="16-Sep"/>
          <s v="17-Sep"/>
          <s v="18-Sep"/>
          <s v="19-Sep"/>
          <s v="20-Sep"/>
          <s v="21-Sep"/>
          <s v="22-Sep"/>
          <s v="23-Sep"/>
          <s v="24-Sep"/>
          <s v="25-Sep"/>
          <s v="26-Sep"/>
          <s v="27-Sep"/>
          <s v="28-Sep"/>
          <s v="29-Sep"/>
          <s v="30-Sep"/>
          <s v="01-Oct"/>
          <s v="02-Oct"/>
          <s v="03-Oct"/>
          <s v="04-Oct"/>
          <s v="05-Oct"/>
          <s v="06-Oct"/>
          <s v="07-Oct"/>
          <s v="08-Oct"/>
          <s v="09-Oct"/>
          <s v="10-Oct"/>
          <s v="11-Oct"/>
          <s v="12-Oct"/>
          <s v="13-Oct"/>
          <s v="14-Oct"/>
          <s v="15-Oct"/>
          <s v="16-Oct"/>
          <s v="17-Oct"/>
          <s v="18-Oct"/>
          <s v="19-Oct"/>
          <s v="20-Oct"/>
          <s v="21-Oct"/>
          <s v="22-Oct"/>
          <s v="23-Oct"/>
          <s v="24-Oct"/>
          <s v="25-Oct"/>
          <s v="26-Oct"/>
          <s v="27-Oct"/>
          <s v="28-Oct"/>
          <s v="29-Oct"/>
          <s v="30-Oct"/>
          <s v="31-Oct"/>
          <s v="01-Nov"/>
          <s v="02-Nov"/>
          <s v="03-Nov"/>
          <s v="04-Nov"/>
          <s v="05-Nov"/>
          <s v="06-Nov"/>
          <s v="07-Nov"/>
          <s v="08-Nov"/>
          <s v="0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01-Dec"/>
          <s v="02-Dec"/>
          <s v="03-Dec"/>
          <s v="04-Dec"/>
          <s v="05-Dec"/>
          <s v="06-Dec"/>
          <s v="07-Dec"/>
          <s v="08-Dec"/>
          <s v="09-Dec"/>
          <s v="10-Dec"/>
          <s v="11-Dec"/>
          <s v="12-Dec"/>
          <s v="13-Dec"/>
          <s v="14-Dec"/>
          <s v="15-Dec"/>
          <s v="16-Dec"/>
          <s v="17-Dec"/>
          <s v="18-Dec"/>
          <s v="19-Dec"/>
          <s v="20-Dec"/>
          <s v="21-Dec"/>
          <s v="22-Dec"/>
          <s v="23-Dec"/>
          <s v="24-Dec"/>
          <s v="25-Dec"/>
          <s v="26-Dec"/>
          <s v="27-Dec"/>
          <s v="28-Dec"/>
          <s v="29-Dec"/>
          <s v="30-Dec"/>
          <s v="31-Dec"/>
          <s v="&gt;2025/05/04"/>
        </groupItems>
      </fieldGroup>
    </cacheField>
    <cacheField name="Completion time" numFmtId="164">
      <sharedItems containsSemiMixedTypes="0" containsNonDate="0" containsDate="1" containsString="0" minDate="2025-04-30T22:55:23" maxDate="2025-05-04T00:54:52" count="28">
        <d v="2025-04-30T22:55:23"/>
        <d v="2025-04-30T23:00:20"/>
        <d v="2025-04-30T23:19:01"/>
        <d v="2025-04-30T23:44:35"/>
        <d v="2025-05-01T03:07:41"/>
        <d v="2025-05-01T05:59:43"/>
        <d v="2025-05-01T06:06:52"/>
        <d v="2025-05-01T08:28:41"/>
        <d v="2025-05-01T08:50:00"/>
        <d v="2025-05-01T09:14:57"/>
        <d v="2025-05-01T13:22:28"/>
        <d v="2025-05-01T13:28:06"/>
        <d v="2025-05-01T13:58:23"/>
        <d v="2025-05-01T14:20:20"/>
        <d v="2025-05-01T14:20:41"/>
        <d v="2025-05-01T14:33:18"/>
        <d v="2025-05-01T15:05:28"/>
        <d v="2025-05-01T15:59:05"/>
        <d v="2025-05-01T18:13:32"/>
        <d v="2025-05-01T19:07:14"/>
        <d v="2025-05-01T19:52:03"/>
        <d v="2025-05-02T01:50:01"/>
        <d v="2025-05-02T19:02:47"/>
        <d v="2025-05-03T03:49:20"/>
        <d v="2025-05-03T03:58:16"/>
        <d v="2025-05-03T12:45:05"/>
        <d v="2025-05-04T00:32:57"/>
        <d v="2025-05-04T00:54:52"/>
      </sharedItems>
      <fieldGroup par="29" base="2">
        <rangePr groupBy="days" startDate="2025-04-30T22:55:23" endDate="2025-05-04T00:54:52"/>
        <groupItems count="368">
          <s v="&lt;2025/04/30"/>
          <s v="01-Jan"/>
          <s v="02-Jan"/>
          <s v="03-Jan"/>
          <s v="04-Jan"/>
          <s v="05-Jan"/>
          <s v="06-Jan"/>
          <s v="07-Jan"/>
          <s v="08-Jan"/>
          <s v="09-Jan"/>
          <s v="10-Jan"/>
          <s v="11-Jan"/>
          <s v="12-Jan"/>
          <s v="13-Jan"/>
          <s v="14-Jan"/>
          <s v="15-Jan"/>
          <s v="16-Jan"/>
          <s v="17-Jan"/>
          <s v="18-Jan"/>
          <s v="19-Jan"/>
          <s v="20-Jan"/>
          <s v="21-Jan"/>
          <s v="22-Jan"/>
          <s v="23-Jan"/>
          <s v="24-Jan"/>
          <s v="25-Jan"/>
          <s v="26-Jan"/>
          <s v="27-Jan"/>
          <s v="28-Jan"/>
          <s v="29-Jan"/>
          <s v="30-Jan"/>
          <s v="31-Jan"/>
          <s v="01-Feb"/>
          <s v="02-Feb"/>
          <s v="03-Feb"/>
          <s v="04-Feb"/>
          <s v="05-Feb"/>
          <s v="06-Feb"/>
          <s v="07-Feb"/>
          <s v="08-Feb"/>
          <s v="09-Feb"/>
          <s v="10-Feb"/>
          <s v="11-Feb"/>
          <s v="12-Feb"/>
          <s v="13-Feb"/>
          <s v="14-Feb"/>
          <s v="15-Feb"/>
          <s v="16-Feb"/>
          <s v="17-Feb"/>
          <s v="18-Feb"/>
          <s v="19-Feb"/>
          <s v="20-Feb"/>
          <s v="21-Feb"/>
          <s v="22-Feb"/>
          <s v="23-Feb"/>
          <s v="24-Feb"/>
          <s v="25-Feb"/>
          <s v="26-Feb"/>
          <s v="27-Feb"/>
          <s v="28-Feb"/>
          <s v="29-Feb"/>
          <s v="01-Mar"/>
          <s v="02-Mar"/>
          <s v="03-Mar"/>
          <s v="04-Mar"/>
          <s v="05-Mar"/>
          <s v="06-Mar"/>
          <s v="07-Mar"/>
          <s v="08-Mar"/>
          <s v="09-Mar"/>
          <s v="10-Mar"/>
          <s v="11-Mar"/>
          <s v="12-Mar"/>
          <s v="13-Mar"/>
          <s v="14-Mar"/>
          <s v="15-Mar"/>
          <s v="16-Mar"/>
          <s v="17-Mar"/>
          <s v="18-Mar"/>
          <s v="19-Mar"/>
          <s v="20-Mar"/>
          <s v="21-Mar"/>
          <s v="22-Mar"/>
          <s v="23-Mar"/>
          <s v="24-Mar"/>
          <s v="25-Mar"/>
          <s v="26-Mar"/>
          <s v="27-Mar"/>
          <s v="28-Mar"/>
          <s v="29-Mar"/>
          <s v="30-Mar"/>
          <s v="31-Mar"/>
          <s v="01-Apr"/>
          <s v="02-Apr"/>
          <s v="03-Apr"/>
          <s v="04-Apr"/>
          <s v="05-Apr"/>
          <s v="06-Apr"/>
          <s v="07-Apr"/>
          <s v="08-Apr"/>
          <s v="09-Apr"/>
          <s v="10-Apr"/>
          <s v="11-Apr"/>
          <s v="12-Apr"/>
          <s v="13-Apr"/>
          <s v="14-Apr"/>
          <s v="15-Apr"/>
          <s v="16-Apr"/>
          <s v="17-Apr"/>
          <s v="18-Apr"/>
          <s v="19-Apr"/>
          <s v="20-Apr"/>
          <s v="21-Apr"/>
          <s v="22-Apr"/>
          <s v="23-Apr"/>
          <s v="24-Apr"/>
          <s v="25-Apr"/>
          <s v="26-Apr"/>
          <s v="27-Apr"/>
          <s v="28-Apr"/>
          <s v="29-Apr"/>
          <s v="30-Apr"/>
          <s v="01-May"/>
          <s v="02-May"/>
          <s v="03-May"/>
          <s v="04-May"/>
          <s v="05-May"/>
          <s v="06-May"/>
          <s v="07-May"/>
          <s v="08-May"/>
          <s v="09-May"/>
          <s v="10-May"/>
          <s v="11-May"/>
          <s v="12-May"/>
          <s v="13-May"/>
          <s v="14-May"/>
          <s v="15-May"/>
          <s v="16-May"/>
          <s v="17-May"/>
          <s v="18-May"/>
          <s v="19-May"/>
          <s v="20-May"/>
          <s v="21-May"/>
          <s v="22-May"/>
          <s v="23-May"/>
          <s v="24-May"/>
          <s v="25-May"/>
          <s v="26-May"/>
          <s v="27-May"/>
          <s v="28-May"/>
          <s v="29-May"/>
          <s v="30-May"/>
          <s v="31-May"/>
          <s v="01-Jun"/>
          <s v="02-Jun"/>
          <s v="03-Jun"/>
          <s v="04-Jun"/>
          <s v="05-Jun"/>
          <s v="06-Jun"/>
          <s v="07-Jun"/>
          <s v="08-Jun"/>
          <s v="09-Jun"/>
          <s v="10-Jun"/>
          <s v="11-Jun"/>
          <s v="12-Jun"/>
          <s v="13-Jun"/>
          <s v="14-Jun"/>
          <s v="15-Jun"/>
          <s v="16-Jun"/>
          <s v="17-Jun"/>
          <s v="18-Jun"/>
          <s v="19-Jun"/>
          <s v="20-Jun"/>
          <s v="21-Jun"/>
          <s v="22-Jun"/>
          <s v="23-Jun"/>
          <s v="24-Jun"/>
          <s v="25-Jun"/>
          <s v="26-Jun"/>
          <s v="27-Jun"/>
          <s v="28-Jun"/>
          <s v="29-Jun"/>
          <s v="30-Jun"/>
          <s v="01-Jul"/>
          <s v="02-Jul"/>
          <s v="03-Jul"/>
          <s v="04-Jul"/>
          <s v="05-Jul"/>
          <s v="06-Jul"/>
          <s v="07-Jul"/>
          <s v="08-Jul"/>
          <s v="09-Jul"/>
          <s v="10-Jul"/>
          <s v="11-Jul"/>
          <s v="12-Jul"/>
          <s v="13-Jul"/>
          <s v="14-Jul"/>
          <s v="15-Jul"/>
          <s v="16-Jul"/>
          <s v="17-Jul"/>
          <s v="18-Jul"/>
          <s v="19-Jul"/>
          <s v="20-Jul"/>
          <s v="21-Jul"/>
          <s v="22-Jul"/>
          <s v="23-Jul"/>
          <s v="24-Jul"/>
          <s v="25-Jul"/>
          <s v="26-Jul"/>
          <s v="27-Jul"/>
          <s v="28-Jul"/>
          <s v="29-Jul"/>
          <s v="30-Jul"/>
          <s v="31-Jul"/>
          <s v="01-Aug"/>
          <s v="02-Aug"/>
          <s v="03-Aug"/>
          <s v="04-Aug"/>
          <s v="05-Aug"/>
          <s v="06-Aug"/>
          <s v="07-Aug"/>
          <s v="08-Aug"/>
          <s v="09-Aug"/>
          <s v="10-Aug"/>
          <s v="11-Aug"/>
          <s v="12-Aug"/>
          <s v="13-Aug"/>
          <s v="14-Aug"/>
          <s v="15-Aug"/>
          <s v="16-Aug"/>
          <s v="17-Aug"/>
          <s v="18-Aug"/>
          <s v="19-Aug"/>
          <s v="20-Aug"/>
          <s v="21-Aug"/>
          <s v="22-Aug"/>
          <s v="23-Aug"/>
          <s v="24-Aug"/>
          <s v="25-Aug"/>
          <s v="26-Aug"/>
          <s v="27-Aug"/>
          <s v="28-Aug"/>
          <s v="29-Aug"/>
          <s v="30-Aug"/>
          <s v="31-Aug"/>
          <s v="01-Sep"/>
          <s v="02-Sep"/>
          <s v="03-Sep"/>
          <s v="04-Sep"/>
          <s v="05-Sep"/>
          <s v="06-Sep"/>
          <s v="07-Sep"/>
          <s v="08-Sep"/>
          <s v="09-Sep"/>
          <s v="10-Sep"/>
          <s v="11-Sep"/>
          <s v="12-Sep"/>
          <s v="13-Sep"/>
          <s v="14-Sep"/>
          <s v="15-Sep"/>
          <s v="16-Sep"/>
          <s v="17-Sep"/>
          <s v="18-Sep"/>
          <s v="19-Sep"/>
          <s v="20-Sep"/>
          <s v="21-Sep"/>
          <s v="22-Sep"/>
          <s v="23-Sep"/>
          <s v="24-Sep"/>
          <s v="25-Sep"/>
          <s v="26-Sep"/>
          <s v="27-Sep"/>
          <s v="28-Sep"/>
          <s v="29-Sep"/>
          <s v="30-Sep"/>
          <s v="01-Oct"/>
          <s v="02-Oct"/>
          <s v="03-Oct"/>
          <s v="04-Oct"/>
          <s v="05-Oct"/>
          <s v="06-Oct"/>
          <s v="07-Oct"/>
          <s v="08-Oct"/>
          <s v="09-Oct"/>
          <s v="10-Oct"/>
          <s v="11-Oct"/>
          <s v="12-Oct"/>
          <s v="13-Oct"/>
          <s v="14-Oct"/>
          <s v="15-Oct"/>
          <s v="16-Oct"/>
          <s v="17-Oct"/>
          <s v="18-Oct"/>
          <s v="19-Oct"/>
          <s v="20-Oct"/>
          <s v="21-Oct"/>
          <s v="22-Oct"/>
          <s v="23-Oct"/>
          <s v="24-Oct"/>
          <s v="25-Oct"/>
          <s v="26-Oct"/>
          <s v="27-Oct"/>
          <s v="28-Oct"/>
          <s v="29-Oct"/>
          <s v="30-Oct"/>
          <s v="31-Oct"/>
          <s v="01-Nov"/>
          <s v="02-Nov"/>
          <s v="03-Nov"/>
          <s v="04-Nov"/>
          <s v="05-Nov"/>
          <s v="06-Nov"/>
          <s v="07-Nov"/>
          <s v="08-Nov"/>
          <s v="0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01-Dec"/>
          <s v="02-Dec"/>
          <s v="03-Dec"/>
          <s v="04-Dec"/>
          <s v="05-Dec"/>
          <s v="06-Dec"/>
          <s v="07-Dec"/>
          <s v="08-Dec"/>
          <s v="09-Dec"/>
          <s v="10-Dec"/>
          <s v="11-Dec"/>
          <s v="12-Dec"/>
          <s v="13-Dec"/>
          <s v="14-Dec"/>
          <s v="15-Dec"/>
          <s v="16-Dec"/>
          <s v="17-Dec"/>
          <s v="18-Dec"/>
          <s v="19-Dec"/>
          <s v="20-Dec"/>
          <s v="21-Dec"/>
          <s v="22-Dec"/>
          <s v="23-Dec"/>
          <s v="24-Dec"/>
          <s v="25-Dec"/>
          <s v="26-Dec"/>
          <s v="27-Dec"/>
          <s v="28-Dec"/>
          <s v="29-Dec"/>
          <s v="30-Dec"/>
          <s v="31-Dec"/>
          <s v="&gt;2025/05/04"/>
        </groupItems>
      </fieldGroup>
    </cacheField>
    <cacheField name="Email" numFmtId="0">
      <sharedItems count="1">
        <s v="anonymous"/>
      </sharedItems>
    </cacheField>
    <cacheField name="Name" numFmtId="0">
      <sharedItems containsNonDate="0" containsString="0" containsBlank="1" count="1">
        <m/>
      </sharedItems>
    </cacheField>
    <cacheField name="Last modified time" numFmtId="164">
      <sharedItems containsNonDate="0" containsString="0" containsBlank="1" count="1">
        <m/>
      </sharedItems>
    </cacheField>
    <cacheField name="What is your gender?" numFmtId="0">
      <sharedItems containsSemiMixedTypes="0" containsString="0" containsNumber="1" containsInteger="1" minValue="1" maxValue="3" count="3">
        <n v="1"/>
        <n v="2"/>
        <n v="3"/>
      </sharedItems>
    </cacheField>
    <cacheField name="How old are you?" numFmtId="0">
      <sharedItems containsSemiMixedTypes="0" containsString="0" containsNumber="1" containsInteger="1" minValue="18" maxValue="31" count="10">
        <n v="23"/>
        <n v="21"/>
        <n v="20"/>
        <n v="22"/>
        <n v="31"/>
        <n v="18"/>
        <n v="25"/>
        <n v="24"/>
        <n v="19"/>
        <n v="28"/>
      </sharedItems>
      <fieldGroup base="7">
        <rangePr startNum="18" endNum="31" groupInterval="5"/>
        <groupItems count="5">
          <s v="&lt;18"/>
          <s v="18-22"/>
          <s v="23-27"/>
          <s v="28-32"/>
          <s v="&gt;33"/>
        </groupItems>
      </fieldGroup>
    </cacheField>
    <cacheField name="Faculty" numFmtId="0">
      <sharedItems count="7">
        <s v="Faculty of Natural and Agricultural Sciences"/>
        <s v="Faculty of Economics and Management Sciences "/>
        <s v="Faculty of Humanities"/>
        <s v="Faculty of Law"/>
        <s v="Faculty of Theology"/>
        <s v="Faculty of Education"/>
        <s v="Faculty of Health Sciences "/>
      </sharedItems>
    </cacheField>
    <cacheField name="What year of study are you in?" numFmtId="0">
      <sharedItems count="5">
        <s v="4th year"/>
        <s v="2nd year"/>
        <s v="3rd year "/>
        <s v="1st year"/>
        <s v="3rd year"/>
      </sharedItems>
    </cacheField>
    <cacheField name="Rate your knowledge" numFmtId="0">
      <sharedItems containsSemiMixedTypes="0" containsString="0" containsNumber="1" containsInteger="1" minValue="1" maxValue="3" count="3">
        <n v="1"/>
        <n v="2"/>
        <n v="3"/>
      </sharedItems>
    </cacheField>
    <cacheField name="Fertility Issues" numFmtId="0">
      <sharedItems containsSemiMixedTypes="0" containsString="0" containsNumber="1" containsInteger="1" minValue="0" maxValue="1"/>
    </cacheField>
    <cacheField name="Lung, Mouth and Throat Cancer" numFmtId="0">
      <sharedItems containsSemiMixedTypes="0" containsString="0" containsNumber="1" containsInteger="1" minValue="1" maxValue="1"/>
    </cacheField>
    <cacheField name="Erectile Dysfunction" numFmtId="0">
      <sharedItems containsSemiMixedTypes="0" containsString="0" containsNumber="1" containsInteger="1" minValue="0" maxValue="1"/>
    </cacheField>
    <cacheField name="Cardiovascular Disease" numFmtId="0">
      <sharedItems containsSemiMixedTypes="0" containsString="0" containsNumber="1" containsInteger="1" minValue="0" maxValue="1"/>
    </cacheField>
    <cacheField name="Respiratory Illnesses " numFmtId="0">
      <sharedItems containsSemiMixedTypes="0" containsString="0" containsNumber="1" containsInteger="1" minValue="0" maxValue="1"/>
    </cacheField>
    <cacheField name="Type 2 Diabetes" numFmtId="0">
      <sharedItems containsSemiMixedTypes="0" containsString="0" containsNumber="1" containsInteger="1" minValue="0" maxValue="1"/>
    </cacheField>
    <cacheField name="Do you smoke?" numFmtId="0">
      <sharedItems containsSemiMixedTypes="0" containsString="0" containsNumber="1" containsInteger="1" minValue="0" maxValue="1" count="2">
        <n v="1"/>
        <n v="0"/>
      </sharedItems>
    </cacheField>
    <cacheField name="How Often?" numFmtId="0">
      <sharedItems containsBlank="1" count="4">
        <s v="Weekly"/>
        <m/>
        <s v="Daily"/>
        <s v="Occassionally"/>
      </sharedItems>
    </cacheField>
    <cacheField name="How many joints or cigarettes do you smoke on average a day?" numFmtId="0">
      <sharedItems containsString="0" containsBlank="1" containsNumber="1" containsInteger="1" minValue="1" maxValue="6"/>
    </cacheField>
    <cacheField name="Type of product" numFmtId="0">
      <sharedItems containsBlank="1" count="7">
        <s v="Hubbly;Vape;Cigarettes;Marijuana;"/>
        <m/>
        <s v="Marijuana;"/>
        <s v="Cigarettes;"/>
        <s v="Marijuana;Vape;Cigarettes;"/>
        <s v="Cigarettes;Vape;"/>
        <s v="Vape;Cigarettes;"/>
      </sharedItems>
    </cacheField>
    <cacheField name="For how long have you been smoking?" numFmtId="0">
      <sharedItems containsBlank="1" count="4">
        <s v="More than 2 years"/>
        <m/>
        <s v="0 - 6 months"/>
        <s v="7 - 12 months"/>
      </sharedItems>
    </cacheField>
    <cacheField name="Why did you start" numFmtId="0">
      <sharedItems containsBlank="1" count="6">
        <s v="Learnt from family members;Stress ;Other;"/>
        <m/>
        <s v="Stress ;"/>
        <s v="Other;"/>
        <s v="Relief from Psychological Issues;"/>
        <s v="Relief from Psychological Issues;Other;"/>
      </sharedItems>
    </cacheField>
    <cacheField name="Why do you continue smoking?" numFmtId="0">
      <sharedItems containsBlank="1" count="7">
        <s v="I find pleasure in it"/>
        <m/>
        <s v="It calms me down;"/>
        <s v="It's became a force of habit"/>
        <s v="I find pleasure in it;"/>
        <s v="I find pleasure in it;It calms me down;"/>
        <s v="It calms me down;It's become a force of habit;I find pleasure in it;"/>
      </sharedItems>
    </cacheField>
    <cacheField name="Why don't you smoke?" numFmtId="0">
      <sharedItems containsBlank="1" count="12">
        <m/>
        <s v="It destroys the body;Societal Standards;Health Issues;It's not my cup of tea;It's a financial liability "/>
        <s v="It's a financial liability (every cent counts);"/>
        <s v="It's not my cup of tea;"/>
        <s v="It destroys the body;It's a financial liability (every cent counts);Health Issues;"/>
        <s v="Societal Standards;Health Issues;It destroys the body;It's not my cup of tea;"/>
        <s v="It's not my cup of tea;Health Issues;It destroys the body;Societal Standards;"/>
        <s v="Health Issues;It destroys the body;It's not my cup of tea;"/>
        <s v="It destroys the body;"/>
        <s v="It's not my cup of tea;It destroys the body;"/>
        <s v="Societal Standards;"/>
        <s v="It destroys the body;Health Issues;"/>
      </sharedItems>
    </cacheField>
    <cacheField name="Why don't you smoke?2" numFmtId="0">
      <sharedItems containsBlank="1" count="12">
        <m/>
        <s v="I just haven't tried it yet;Health Issues ;It's not my cup of tea;It smells had;"/>
        <s v="Health Issues ;"/>
        <s v="I just haven't tried it yet;"/>
        <s v="It's not my cup of tea;"/>
        <s v="Health Issues ;It's a financial liability (every cent counts);"/>
        <s v="I don't want the lifestyle;"/>
        <s v="Societal Standards;Health Issues ;It's not my cup of tea;"/>
        <s v="Health Issues ;It's not my cup of tea;I just haven't tried it yet;It's a financial liability (every cent counts);Societal Standards;"/>
        <s v="Health Issues ;It's not my cup of tea;"/>
        <s v="I just haven't tried it yet;It's not my cup of tea;Health Issues ;"/>
        <s v="It's a financial liability (every cent counts);Health Issues ;It's not my cup of tea;"/>
      </sharedItems>
    </cacheField>
    <cacheField name="Have you tried it before" numFmtId="0">
      <sharedItems containsBlank="1" count="3">
        <m/>
        <s v="No"/>
        <s v="Yes"/>
      </sharedItems>
    </cacheField>
    <cacheField name="Would you try it?" numFmtId="0">
      <sharedItems containsBlank="1" count="4">
        <m/>
        <s v="No"/>
        <s v="Yes"/>
        <s v="Maybe"/>
      </sharedItems>
    </cacheField>
    <cacheField name="Months" numFmtId="0" databaseField="0">
      <fieldGroup base="1">
        <rangePr groupBy="months" startDate="2025-04-30T22:53:22" endDate="2025-05-04T00:53:34"/>
        <groupItems count="14">
          <s v="&lt;2025/04/30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2025/05/04"/>
        </groupItems>
      </fieldGroup>
    </cacheField>
    <cacheField name="Months2" numFmtId="0" databaseField="0">
      <fieldGroup base="2">
        <rangePr groupBy="months" startDate="2025-04-30T22:55:23" endDate="2025-05-04T00:54:52"/>
        <groupItems count="14">
          <s v="&lt;2025/04/30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2025/05/04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YSTEM" refreshedDate="45783.687905671293" createdVersion="7" refreshedVersion="7" minRefreshableVersion="3" recordCount="11" xr:uid="{9A2523D3-9FE7-40B7-9CFE-EE4BC37F5301}">
  <cacheSource type="worksheet">
    <worksheetSource name="Table13"/>
  </cacheSource>
  <cacheFields count="26">
    <cacheField name="ID" numFmtId="0">
      <sharedItems containsSemiMixedTypes="0" containsString="0" containsNumber="1" containsInteger="1" minValue="1" maxValue="30"/>
    </cacheField>
    <cacheField name="Start time" numFmtId="164">
      <sharedItems containsSemiMixedTypes="0" containsNonDate="0" containsDate="1" containsString="0" minDate="2025-04-30T22:53:22" maxDate="2025-05-04T00:53:34"/>
    </cacheField>
    <cacheField name="Completion time" numFmtId="164">
      <sharedItems containsSemiMixedTypes="0" containsNonDate="0" containsDate="1" containsString="0" minDate="2025-04-30T22:55:23" maxDate="2025-05-04T00:54:52"/>
    </cacheField>
    <cacheField name="Email" numFmtId="0">
      <sharedItems/>
    </cacheField>
    <cacheField name="Name" numFmtId="0">
      <sharedItems containsNonDate="0" containsString="0" containsBlank="1"/>
    </cacheField>
    <cacheField name="Last modified time" numFmtId="164">
      <sharedItems containsNonDate="0" containsString="0" containsBlank="1"/>
    </cacheField>
    <cacheField name="What is your gender?" numFmtId="0">
      <sharedItems containsSemiMixedTypes="0" containsString="0" containsNumber="1" containsInteger="1" minValue="1" maxValue="3" count="3">
        <n v="1"/>
        <n v="2"/>
        <n v="3"/>
      </sharedItems>
    </cacheField>
    <cacheField name="How old are you?" numFmtId="0">
      <sharedItems containsSemiMixedTypes="0" containsString="0" containsNumber="1" containsInteger="1" minValue="19" maxValue="31"/>
    </cacheField>
    <cacheField name="Faculty" numFmtId="0">
      <sharedItems count="6">
        <s v="Faculty of Natural and Agricultural Sciences"/>
        <s v="Faculty of Humanities"/>
        <s v="Faculty of Law"/>
        <s v="Faculty of Economics and Management Sciences "/>
        <s v="Faculty of Theology"/>
        <s v="Faculty of Health Sciences "/>
      </sharedItems>
    </cacheField>
    <cacheField name="What year of study are you in?" numFmtId="0">
      <sharedItems count="4">
        <s v="4th year"/>
        <s v="2nd year"/>
        <s v="3rd year "/>
        <s v="1st year"/>
      </sharedItems>
    </cacheField>
    <cacheField name="Rate your knowledge" numFmtId="0">
      <sharedItems containsSemiMixedTypes="0" containsString="0" containsNumber="1" containsInteger="1" minValue="1" maxValue="3"/>
    </cacheField>
    <cacheField name="Fertility Issues" numFmtId="0">
      <sharedItems containsSemiMixedTypes="0" containsString="0" containsNumber="1" containsInteger="1" minValue="0" maxValue="1"/>
    </cacheField>
    <cacheField name="Lung, Mouth and Throat Cancer" numFmtId="0">
      <sharedItems containsSemiMixedTypes="0" containsString="0" containsNumber="1" containsInteger="1" minValue="1" maxValue="1"/>
    </cacheField>
    <cacheField name="Erectile Dysfunction" numFmtId="0">
      <sharedItems containsSemiMixedTypes="0" containsString="0" containsNumber="1" containsInteger="1" minValue="0" maxValue="1"/>
    </cacheField>
    <cacheField name="Cardiovascular Disease" numFmtId="0">
      <sharedItems containsSemiMixedTypes="0" containsString="0" containsNumber="1" containsInteger="1" minValue="0" maxValue="1"/>
    </cacheField>
    <cacheField name="Respiratory Illnesses " numFmtId="0">
      <sharedItems containsSemiMixedTypes="0" containsString="0" containsNumber="1" containsInteger="1" minValue="0" maxValue="1"/>
    </cacheField>
    <cacheField name="Type 2 Diabetes" numFmtId="0">
      <sharedItems containsSemiMixedTypes="0" containsString="0" containsNumber="1" containsInteger="1" minValue="0" maxValue="1"/>
    </cacheField>
    <cacheField name="Do you smoke?" numFmtId="0">
      <sharedItems containsSemiMixedTypes="0" containsString="0" containsNumber="1" containsInteger="1" minValue="1" maxValue="1"/>
    </cacheField>
    <cacheField name="How Often?" numFmtId="0">
      <sharedItems count="3">
        <s v="Weekly"/>
        <s v="Daily"/>
        <s v="Occassionally"/>
      </sharedItems>
    </cacheField>
    <cacheField name="How many joints or cigarettes do you smoke on average a day?" numFmtId="0">
      <sharedItems containsSemiMixedTypes="0" containsString="0" containsNumber="1" containsInteger="1" minValue="1" maxValue="6" count="5">
        <n v="2"/>
        <n v="1"/>
        <n v="4"/>
        <n v="3"/>
        <n v="6"/>
      </sharedItems>
    </cacheField>
    <cacheField name="Type of product" numFmtId="0">
      <sharedItems/>
    </cacheField>
    <cacheField name="For how long have you been smoking?" numFmtId="0">
      <sharedItems count="3">
        <s v="More than 2 years"/>
        <s v="0 - 6 months"/>
        <s v="7 - 12 months"/>
      </sharedItems>
    </cacheField>
    <cacheField name="Why did you start" numFmtId="0">
      <sharedItems/>
    </cacheField>
    <cacheField name="Why do you continue smoking?" numFmtId="0">
      <sharedItems/>
    </cacheField>
    <cacheField name="Negative Health effect knowledge" numFmtId="0">
      <sharedItems containsSemiMixedTypes="0" containsString="0" containsNumber="1" containsInteger="1" minValue="1" maxValue="5" count="5">
        <n v="4"/>
        <n v="2"/>
        <n v="3"/>
        <n v="1"/>
        <n v="5"/>
      </sharedItems>
    </cacheField>
    <cacheField name="How many joints or cigarettes do you smoke on average a day?2" numFmtId="0">
      <sharedItems containsSemiMixedTypes="0" containsString="0" containsNumber="1" containsInteger="1" minValue="1" maxValue="6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YSTEM" refreshedDate="45783.918168634256" createdVersion="7" refreshedVersion="7" minRefreshableVersion="3" recordCount="11" xr:uid="{24E8AD04-A78A-4280-BB8B-9E0BFA1C1F3F}">
  <cacheSource type="worksheet">
    <worksheetSource name="Table13[What was your gateway drug?]"/>
  </cacheSource>
  <cacheFields count="1">
    <cacheField name="What was your gateway drug?" numFmtId="0">
      <sharedItems count="2">
        <s v="Marijuana"/>
        <s v="Cigarettes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7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YSTEM" refreshedDate="45787.031335416665" createdVersion="7" refreshedVersion="7" minRefreshableVersion="3" recordCount="31" xr:uid="{2213E3C8-DE36-4A99-8364-2A214DEEC7D0}">
  <cacheSource type="worksheet">
    <worksheetSource name="Table1[[Last modified time]:[What was your gateway drug?]]"/>
  </cacheSource>
  <cacheFields count="24">
    <cacheField name="Last modified time" numFmtId="164">
      <sharedItems containsNonDate="0" containsString="0" containsBlank="1"/>
    </cacheField>
    <cacheField name="What is your gender?" numFmtId="0">
      <sharedItems containsSemiMixedTypes="0" containsString="0" containsNumber="1" containsInteger="1" minValue="1" maxValue="3"/>
    </cacheField>
    <cacheField name="How old are you?" numFmtId="0">
      <sharedItems containsSemiMixedTypes="0" containsString="0" containsNumber="1" containsInteger="1" minValue="18" maxValue="31"/>
    </cacheField>
    <cacheField name="Faculty" numFmtId="0">
      <sharedItems/>
    </cacheField>
    <cacheField name="What year of study are you in?" numFmtId="0">
      <sharedItems/>
    </cacheField>
    <cacheField name="Rate your knowledge" numFmtId="0">
      <sharedItems containsSemiMixedTypes="0" containsString="0" containsNumber="1" containsInteger="1" minValue="1" maxValue="3"/>
    </cacheField>
    <cacheField name="Fertility Issues" numFmtId="0">
      <sharedItems containsSemiMixedTypes="0" containsString="0" containsNumber="1" containsInteger="1" minValue="0" maxValue="1"/>
    </cacheField>
    <cacheField name="Lung, Mouth and Throat Cancer" numFmtId="0">
      <sharedItems containsSemiMixedTypes="0" containsString="0" containsNumber="1" containsInteger="1" minValue="1" maxValue="1"/>
    </cacheField>
    <cacheField name="Erectile Dysfunction" numFmtId="0">
      <sharedItems containsSemiMixedTypes="0" containsString="0" containsNumber="1" containsInteger="1" minValue="0" maxValue="1"/>
    </cacheField>
    <cacheField name="Cardiovascular Disease" numFmtId="0">
      <sharedItems containsSemiMixedTypes="0" containsString="0" containsNumber="1" containsInteger="1" minValue="0" maxValue="1"/>
    </cacheField>
    <cacheField name="Respiratory Illnesses " numFmtId="0">
      <sharedItems containsSemiMixedTypes="0" containsString="0" containsNumber="1" containsInteger="1" minValue="0" maxValue="1"/>
    </cacheField>
    <cacheField name="Type 2 Diabetes" numFmtId="0">
      <sharedItems containsSemiMixedTypes="0" containsString="0" containsNumber="1" containsInteger="1" minValue="0" maxValue="1"/>
    </cacheField>
    <cacheField name="Do you smoke?" numFmtId="0">
      <sharedItems containsSemiMixedTypes="0" containsString="0" containsNumber="1" containsInteger="1" minValue="0" maxValue="1" count="2">
        <n v="1"/>
        <n v="0"/>
      </sharedItems>
    </cacheField>
    <cacheField name="How Often?" numFmtId="0">
      <sharedItems containsBlank="1"/>
    </cacheField>
    <cacheField name="How many joints or cigarettes do you smoke on average a day?" numFmtId="0">
      <sharedItems containsString="0" containsBlank="1" containsNumber="1" containsInteger="1" minValue="0" maxValue="6"/>
    </cacheField>
    <cacheField name="Type of product" numFmtId="0">
      <sharedItems containsBlank="1"/>
    </cacheField>
    <cacheField name="For how long have you been smoking?" numFmtId="0">
      <sharedItems containsBlank="1"/>
    </cacheField>
    <cacheField name="Why did you start" numFmtId="0">
      <sharedItems containsBlank="1"/>
    </cacheField>
    <cacheField name="Why do you continue smoking?" numFmtId="0">
      <sharedItems containsBlank="1"/>
    </cacheField>
    <cacheField name="Why don't you smoke?" numFmtId="0">
      <sharedItems containsBlank="1"/>
    </cacheField>
    <cacheField name="Have you tried it before" numFmtId="0">
      <sharedItems containsBlank="1"/>
    </cacheField>
    <cacheField name="Would you try it?" numFmtId="0">
      <sharedItems containsBlank="1"/>
    </cacheField>
    <cacheField name="Negative Health effect knowledge" numFmtId="0">
      <sharedItems containsSemiMixedTypes="0" containsString="0" containsNumber="1" containsInteger="1" minValue="1" maxValue="6"/>
    </cacheField>
    <cacheField name="What was your gateway drug?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8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nele Ngubane" refreshedDate="45787.823824768515" createdVersion="8" refreshedVersion="8" minRefreshableVersion="3" recordCount="31" xr:uid="{1A65C250-9EB5-D742-9884-CED04371F9F2}">
  <cacheSource type="worksheet">
    <worksheetSource name="Table1[Faculty]"/>
  </cacheSource>
  <cacheFields count="1">
    <cacheField name="Faculty" numFmtId="0">
      <sharedItems count="7">
        <s v="Faculty of Natural and Agricultural Sciences"/>
        <s v="Faculty of Economics and Management Sciences "/>
        <s v="Faculty of Humanities"/>
        <s v="Faculty of Law"/>
        <s v="Faculty of Theology"/>
        <s v="Faculty of Education"/>
        <s v="Faculty of Health Sciences 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9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nele Ngubane" refreshedDate="45787.825310416665" createdVersion="8" refreshedVersion="8" minRefreshableVersion="3" recordCount="31" xr:uid="{AC057B46-2B63-0C4F-B554-427615957BD9}">
  <cacheSource type="worksheet">
    <worksheetSource name="Table1[What year of study are you in?]"/>
  </cacheSource>
  <cacheFields count="1">
    <cacheField name="What year of study are you in?" numFmtId="0">
      <sharedItems count="5">
        <s v="4th year"/>
        <s v="2nd year"/>
        <s v="3rd year "/>
        <s v="1st year"/>
        <s v="3rd year 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10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nele Ngubane" refreshedDate="45787.82701990741" createdVersion="8" refreshedVersion="8" minRefreshableVersion="3" recordCount="31" xr:uid="{420A42DD-48B3-C944-941A-1E298C6C9118}">
  <cacheSource type="worksheet">
    <worksheetSource name="Table1[Do you smoke?]"/>
  </cacheSource>
  <cacheFields count="1">
    <cacheField name="Do you smoke?" numFmtId="0">
      <sharedItems containsSemiMixedTypes="0" containsString="0" containsNumber="1" containsInteger="1" minValue="0" maxValue="1" count="2">
        <n v="1"/>
        <n v="0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1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unior Booi" refreshedDate="45782.782624189815" createdVersion="8" refreshedVersion="8" minRefreshableVersion="3" recordCount="31" xr:uid="{392BB400-0ADE-444F-8207-142723D19CCD}">
  <cacheSource type="worksheet">
    <worksheetSource ref="H1:N32" sheet="Sheet10" r:id="rId2"/>
  </cacheSource>
  <cacheFields count="7">
    <cacheField name="Fertility Issues" numFmtId="0">
      <sharedItems containsSemiMixedTypes="0" containsString="0" containsNumber="1" containsInteger="1" minValue="0" maxValue="1"/>
    </cacheField>
    <cacheField name="Lung, Mouth and Throat Cancer" numFmtId="0">
      <sharedItems containsSemiMixedTypes="0" containsString="0" containsNumber="1" containsInteger="1" minValue="1" maxValue="1"/>
    </cacheField>
    <cacheField name="Erectile Dysfunction" numFmtId="0">
      <sharedItems containsSemiMixedTypes="0" containsString="0" containsNumber="1" containsInteger="1" minValue="0" maxValue="1"/>
    </cacheField>
    <cacheField name="Cardiovascular Disease" numFmtId="0">
      <sharedItems containsSemiMixedTypes="0" containsString="0" containsNumber="1" containsInteger="1" minValue="0" maxValue="1"/>
    </cacheField>
    <cacheField name="Respiratory Illnesses " numFmtId="0">
      <sharedItems containsSemiMixedTypes="0" containsString="0" containsNumber="1" containsInteger="1" minValue="0" maxValue="1"/>
    </cacheField>
    <cacheField name="Type 2 Diabetes" numFmtId="0">
      <sharedItems containsSemiMixedTypes="0" containsString="0" containsNumber="1" containsInteger="1" minValue="0" maxValue="1" count="2">
        <n v="0"/>
        <n v="1"/>
      </sharedItems>
    </cacheField>
    <cacheField name="Gender?" numFmtId="0">
      <sharedItems count="3">
        <s v="Male"/>
        <s v="Female"/>
        <s v="Non-binary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1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nele Ngubane" refreshedDate="45789.073022569442" createdVersion="8" refreshedVersion="8" minRefreshableVersion="3" recordCount="30" xr:uid="{240648DF-3F2E-1F42-B649-31EA049F2AEF}">
  <cacheSource type="worksheet">
    <worksheetSource ref="F2:F32" sheet="Data"/>
  </cacheSource>
  <cacheFields count="1">
    <cacheField name="1" numFmtId="0">
      <sharedItems containsSemiMixedTypes="0" containsString="0" containsNumber="1" containsInteger="1" minValue="1" maxValue="3" count="3">
        <n v="2"/>
        <n v="1"/>
        <n v="3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1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unior Booi" refreshedDate="45787.929089583333" createdVersion="8" refreshedVersion="8" minRefreshableVersion="3" recordCount="31" xr:uid="{EF8B1A1D-63DA-8140-A08A-2D6D0C881AD9}">
  <cacheSource type="worksheet">
    <worksheetSource name="OfficeForms.Table" r:id="rId2"/>
  </cacheSource>
  <cacheFields count="24">
    <cacheField name="Id" numFmtId="0">
      <sharedItems containsSemiMixedTypes="0" containsString="0" containsNumber="1" containsInteger="1" minValue="3" maxValue="34"/>
    </cacheField>
    <cacheField name="Start time" numFmtId="22">
      <sharedItems containsSemiMixedTypes="0" containsNonDate="0" containsDate="1" containsString="0" minDate="2025-04-30T22:53:22" maxDate="2025-05-04T18:24:21"/>
    </cacheField>
    <cacheField name="Completion time" numFmtId="22">
      <sharedItems containsSemiMixedTypes="0" containsNonDate="0" containsDate="1" containsString="0" minDate="2025-04-30T22:55:23" maxDate="2025-05-04T18:25:35"/>
    </cacheField>
    <cacheField name="Gender?" numFmtId="0">
      <sharedItems count="3">
        <s v="Male"/>
        <s v="Female"/>
        <s v="Non-binary"/>
      </sharedItems>
    </cacheField>
    <cacheField name="How old are you?" numFmtId="0">
      <sharedItems containsSemiMixedTypes="0" containsString="0" containsNumber="1" containsInteger="1" minValue="18" maxValue="31"/>
    </cacheField>
    <cacheField name="Faculty" numFmtId="0">
      <sharedItems count="7">
        <s v="Faculty of Natural and Agricultural Sciences"/>
        <s v="Faculty of Economics and Management Sciences "/>
        <s v="Faculty of Humanities"/>
        <s v="Faculty of Law"/>
        <s v="Faculty of Theology"/>
        <s v="Faculty of Education"/>
        <s v="Faculty of Health Sciences "/>
      </sharedItems>
    </cacheField>
    <cacheField name="What year of study are you in?" numFmtId="0">
      <sharedItems count="6">
        <s v="4th year"/>
        <s v="2nd year"/>
        <s v="3rd Year"/>
        <s v="1st year"/>
        <s v="3rd year " u="1"/>
        <s v="3rd year " u="1"/>
      </sharedItems>
    </cacheField>
    <cacheField name="How well acquainted are you with the risks associated with smoking?Rate your knowledge" numFmtId="0">
      <sharedItems count="3">
        <s v="Very well"/>
        <s v="Somewhat"/>
        <s v="Neutral"/>
      </sharedItems>
    </cacheField>
    <cacheField name="Do you know of the following risks associated with smoking.Fertility Issues" numFmtId="0">
      <sharedItems/>
    </cacheField>
    <cacheField name="Do you know of the following risks associated with smoking.Lung, Mouth and Throat Cancer" numFmtId="0">
      <sharedItems/>
    </cacheField>
    <cacheField name="Do you know of the following risks associated with smoking.Erectile Dysfunction" numFmtId="0">
      <sharedItems/>
    </cacheField>
    <cacheField name="Do you know of the following risks associated with smoking.Cardiovascular Disease" numFmtId="0">
      <sharedItems/>
    </cacheField>
    <cacheField name="Do you know of the following risks associated with smoking.Respiratory Illnesses " numFmtId="0">
      <sharedItems/>
    </cacheField>
    <cacheField name="Do you know of the following risks associated with smoking.Type 2 Diabetes" numFmtId="0">
      <sharedItems/>
    </cacheField>
    <cacheField name="Do you smoke?" numFmtId="0">
      <sharedItems count="2">
        <s v="Yes"/>
        <s v="No"/>
      </sharedItems>
    </cacheField>
    <cacheField name="How Often?" numFmtId="0">
      <sharedItems containsBlank="1"/>
    </cacheField>
    <cacheField name="How many joints or cigarettes do you smoke on average a day?" numFmtId="0">
      <sharedItems containsString="0" containsBlank="1" containsNumber="1" containsInteger="1" minValue="0" maxValue="6"/>
    </cacheField>
    <cacheField name="Type of product" numFmtId="0">
      <sharedItems containsBlank="1"/>
    </cacheField>
    <cacheField name="For how long have you been smoking?" numFmtId="0">
      <sharedItems containsBlank="1"/>
    </cacheField>
    <cacheField name="Why did you start" numFmtId="0">
      <sharedItems containsBlank="1"/>
    </cacheField>
    <cacheField name="Why do you continue smoking?" numFmtId="0">
      <sharedItems containsBlank="1"/>
    </cacheField>
    <cacheField name="Why don't you smoke?" numFmtId="0">
      <sharedItems containsBlank="1"/>
    </cacheField>
    <cacheField name="Have you tried it before" numFmtId="0">
      <sharedItems containsBlank="1"/>
    </cacheField>
    <cacheField name="Would you try it?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9">
  <r>
    <x v="0"/>
  </r>
  <r>
    <x v="1"/>
  </r>
  <r>
    <x v="0"/>
  </r>
  <r>
    <x v="1"/>
  </r>
  <r>
    <x v="0"/>
  </r>
  <r>
    <x v="1"/>
  </r>
  <r>
    <x v="1"/>
  </r>
  <r>
    <x v="1"/>
  </r>
  <r>
    <x v="1"/>
  </r>
  <r>
    <x v="0"/>
  </r>
  <r>
    <x v="0"/>
  </r>
  <r>
    <x v="0"/>
  </r>
  <r>
    <x v="1"/>
  </r>
  <r>
    <x v="1"/>
  </r>
  <r>
    <x v="1"/>
  </r>
  <r>
    <x v="1"/>
  </r>
  <r>
    <x v="1"/>
  </r>
  <r>
    <x v="1"/>
  </r>
  <r>
    <x v="1"/>
  </r>
  <r>
    <x v="0"/>
  </r>
  <r>
    <x v="0"/>
  </r>
  <r>
    <x v="1"/>
  </r>
  <r>
    <x v="1"/>
  </r>
  <r>
    <x v="1"/>
  </r>
  <r>
    <x v="1"/>
  </r>
  <r>
    <x v="1"/>
  </r>
  <r>
    <x v="0"/>
  </r>
  <r>
    <x v="0"/>
  </r>
  <r>
    <x v="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9">
  <r>
    <x v="0"/>
    <s v="4th year"/>
    <n v="1"/>
    <n v="1"/>
    <n v="1"/>
    <n v="0"/>
    <n v="1"/>
    <n v="1"/>
    <n v="0"/>
    <x v="0"/>
  </r>
  <r>
    <x v="1"/>
    <s v="4th year"/>
    <n v="1"/>
    <n v="0"/>
    <n v="1"/>
    <n v="0"/>
    <n v="1"/>
    <n v="1"/>
    <n v="0"/>
    <x v="1"/>
  </r>
  <r>
    <x v="2"/>
    <s v="2nd year"/>
    <n v="1"/>
    <n v="0"/>
    <n v="1"/>
    <n v="0"/>
    <n v="0"/>
    <n v="1"/>
    <n v="0"/>
    <x v="0"/>
  </r>
  <r>
    <x v="3"/>
    <s v="3rd year "/>
    <n v="1"/>
    <n v="1"/>
    <n v="1"/>
    <n v="1"/>
    <n v="1"/>
    <n v="1"/>
    <n v="0"/>
    <x v="1"/>
  </r>
  <r>
    <x v="0"/>
    <s v="2nd year"/>
    <n v="1"/>
    <n v="1"/>
    <n v="1"/>
    <n v="1"/>
    <n v="1"/>
    <n v="1"/>
    <n v="1"/>
    <x v="0"/>
  </r>
  <r>
    <x v="3"/>
    <s v="2nd year"/>
    <n v="2"/>
    <n v="0"/>
    <n v="1"/>
    <n v="0"/>
    <n v="1"/>
    <n v="1"/>
    <n v="0"/>
    <x v="1"/>
  </r>
  <r>
    <x v="4"/>
    <s v="2nd year"/>
    <n v="2"/>
    <n v="1"/>
    <n v="1"/>
    <n v="1"/>
    <n v="1"/>
    <n v="1"/>
    <n v="1"/>
    <x v="1"/>
  </r>
  <r>
    <x v="5"/>
    <s v="3rd year "/>
    <n v="2"/>
    <n v="1"/>
    <n v="1"/>
    <n v="1"/>
    <n v="1"/>
    <n v="1"/>
    <n v="1"/>
    <x v="1"/>
  </r>
  <r>
    <x v="4"/>
    <s v="1st year"/>
    <n v="1"/>
    <n v="1"/>
    <n v="1"/>
    <n v="1"/>
    <n v="1"/>
    <n v="1"/>
    <n v="1"/>
    <x v="1"/>
  </r>
  <r>
    <x v="3"/>
    <s v="3rd year "/>
    <n v="2"/>
    <n v="0"/>
    <n v="1"/>
    <n v="0"/>
    <n v="1"/>
    <n v="1"/>
    <n v="0"/>
    <x v="0"/>
  </r>
  <r>
    <x v="1"/>
    <s v="2nd year"/>
    <n v="1"/>
    <n v="0"/>
    <n v="1"/>
    <n v="0"/>
    <n v="1"/>
    <n v="1"/>
    <n v="0"/>
    <x v="0"/>
  </r>
  <r>
    <x v="1"/>
    <s v="1st year"/>
    <n v="3"/>
    <n v="0"/>
    <n v="1"/>
    <n v="0"/>
    <n v="0"/>
    <n v="0"/>
    <n v="0"/>
    <x v="0"/>
  </r>
  <r>
    <x v="5"/>
    <s v="2nd year"/>
    <n v="1"/>
    <n v="1"/>
    <n v="1"/>
    <n v="0"/>
    <n v="0"/>
    <n v="1"/>
    <n v="1"/>
    <x v="1"/>
  </r>
  <r>
    <x v="1"/>
    <s v="4th year"/>
    <n v="1"/>
    <n v="1"/>
    <n v="1"/>
    <n v="1"/>
    <n v="1"/>
    <n v="1"/>
    <n v="0"/>
    <x v="1"/>
  </r>
  <r>
    <x v="5"/>
    <s v="1st year"/>
    <n v="3"/>
    <n v="1"/>
    <n v="1"/>
    <n v="0"/>
    <n v="0"/>
    <n v="0"/>
    <n v="0"/>
    <x v="1"/>
  </r>
  <r>
    <x v="0"/>
    <s v="1st year"/>
    <n v="1"/>
    <n v="1"/>
    <n v="1"/>
    <n v="1"/>
    <n v="1"/>
    <n v="1"/>
    <n v="1"/>
    <x v="1"/>
  </r>
  <r>
    <x v="0"/>
    <s v="3rd year "/>
    <n v="3"/>
    <n v="0"/>
    <n v="1"/>
    <n v="0"/>
    <n v="1"/>
    <n v="1"/>
    <n v="0"/>
    <x v="1"/>
  </r>
  <r>
    <x v="6"/>
    <s v="2nd year"/>
    <n v="2"/>
    <n v="1"/>
    <n v="1"/>
    <n v="0"/>
    <n v="1"/>
    <n v="1"/>
    <n v="0"/>
    <x v="1"/>
  </r>
  <r>
    <x v="5"/>
    <s v="4th year"/>
    <n v="2"/>
    <n v="1"/>
    <n v="1"/>
    <n v="0"/>
    <n v="0"/>
    <n v="1"/>
    <n v="0"/>
    <x v="1"/>
  </r>
  <r>
    <x v="3"/>
    <s v="1st year"/>
    <n v="1"/>
    <n v="1"/>
    <n v="1"/>
    <n v="1"/>
    <n v="1"/>
    <n v="1"/>
    <n v="0"/>
    <x v="0"/>
  </r>
  <r>
    <x v="4"/>
    <s v="3rd year "/>
    <n v="1"/>
    <n v="1"/>
    <n v="1"/>
    <n v="1"/>
    <n v="1"/>
    <n v="1"/>
    <n v="0"/>
    <x v="0"/>
  </r>
  <r>
    <x v="6"/>
    <s v="4th year"/>
    <n v="1"/>
    <n v="1"/>
    <n v="1"/>
    <n v="1"/>
    <n v="1"/>
    <n v="1"/>
    <n v="1"/>
    <x v="1"/>
  </r>
  <r>
    <x v="6"/>
    <s v="1st year"/>
    <n v="2"/>
    <n v="1"/>
    <n v="1"/>
    <n v="1"/>
    <n v="1"/>
    <n v="1"/>
    <n v="0"/>
    <x v="1"/>
  </r>
  <r>
    <x v="2"/>
    <s v="1st year"/>
    <n v="2"/>
    <n v="0"/>
    <n v="1"/>
    <n v="0"/>
    <n v="1"/>
    <n v="1"/>
    <n v="0"/>
    <x v="1"/>
  </r>
  <r>
    <x v="6"/>
    <s v="4th year"/>
    <n v="1"/>
    <n v="1"/>
    <n v="1"/>
    <n v="1"/>
    <n v="1"/>
    <n v="1"/>
    <n v="0"/>
    <x v="1"/>
  </r>
  <r>
    <x v="2"/>
    <s v="1st year"/>
    <n v="3"/>
    <n v="0"/>
    <n v="1"/>
    <n v="0"/>
    <n v="0"/>
    <n v="1"/>
    <n v="0"/>
    <x v="1"/>
  </r>
  <r>
    <x v="6"/>
    <s v="3rd year "/>
    <n v="2"/>
    <n v="0"/>
    <n v="1"/>
    <n v="0"/>
    <n v="0"/>
    <n v="1"/>
    <n v="0"/>
    <x v="0"/>
  </r>
  <r>
    <x v="0"/>
    <s v="2nd year"/>
    <n v="2"/>
    <n v="1"/>
    <n v="1"/>
    <n v="0"/>
    <n v="1"/>
    <n v="1"/>
    <n v="0"/>
    <x v="0"/>
  </r>
  <r>
    <x v="6"/>
    <s v="3rd year "/>
    <n v="2"/>
    <n v="0"/>
    <n v="1"/>
    <n v="0"/>
    <n v="0"/>
    <n v="1"/>
    <n v="0"/>
    <x v="0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9">
  <r>
    <n v="1"/>
    <d v="2025-04-30T22:53:22"/>
    <d v="2025-04-30T22:55:23"/>
    <s v="anonymous"/>
    <m/>
    <m/>
    <x v="0"/>
    <n v="23"/>
    <s v="Faculty of Natural and Agricultural Sciences"/>
    <s v="4th year"/>
    <n v="1"/>
    <n v="1"/>
    <n v="1"/>
    <n v="0"/>
    <n v="1"/>
    <n v="1"/>
    <n v="0"/>
    <x v="0"/>
    <s v="Weekly"/>
    <n v="2"/>
    <s v="Hubbly;Vape;Cigarettes;Marijuana;"/>
    <s v="More than 2 years"/>
    <s v="Learnt from family members;Stress ;Other;"/>
    <s v="I find pleasure in it"/>
    <m/>
    <m/>
    <m/>
    <m/>
  </r>
  <r>
    <n v="2"/>
    <d v="2025-04-30T22:59:04"/>
    <d v="2025-04-30T23:00:20"/>
    <s v="anonymous"/>
    <m/>
    <m/>
    <x v="1"/>
    <n v="21"/>
    <s v="Faculty of Economics and Management Sciences "/>
    <s v="4th year"/>
    <n v="1"/>
    <n v="0"/>
    <n v="1"/>
    <n v="0"/>
    <n v="1"/>
    <n v="1"/>
    <n v="0"/>
    <x v="1"/>
    <m/>
    <m/>
    <m/>
    <m/>
    <m/>
    <m/>
    <s v="It destroys the body;Societal Standards;Health Issues;It's not my cup of tea;It's a financial liability "/>
    <s v="I just haven't tried it yet;Health Issues ;It's not my cup of tea;It smells had;"/>
    <s v="No"/>
    <s v="No"/>
  </r>
  <r>
    <n v="3"/>
    <d v="2025-04-30T23:17:39"/>
    <d v="2025-04-30T23:19:01"/>
    <s v="anonymous"/>
    <m/>
    <m/>
    <x v="1"/>
    <n v="20"/>
    <s v="Faculty of Humanities"/>
    <s v="2nd year"/>
    <n v="1"/>
    <n v="0"/>
    <n v="1"/>
    <n v="0"/>
    <n v="0"/>
    <n v="1"/>
    <n v="0"/>
    <x v="0"/>
    <s v="Weekly"/>
    <n v="1"/>
    <s v="Marijuana;"/>
    <s v="0 - 6 months"/>
    <s v="Stress ;"/>
    <s v="It calms me down;"/>
    <m/>
    <m/>
    <m/>
    <m/>
  </r>
  <r>
    <n v="4"/>
    <d v="2025-04-30T23:39:23"/>
    <d v="2025-04-30T23:44:35"/>
    <s v="anonymous"/>
    <m/>
    <m/>
    <x v="1"/>
    <n v="22"/>
    <s v="Faculty of Law"/>
    <s v="3rd year "/>
    <n v="1"/>
    <n v="1"/>
    <n v="1"/>
    <n v="1"/>
    <n v="1"/>
    <n v="1"/>
    <n v="0"/>
    <x v="1"/>
    <m/>
    <m/>
    <m/>
    <m/>
    <m/>
    <m/>
    <s v="It's a financial liability (every cent counts);"/>
    <s v="Health Issues ;"/>
    <s v="Yes"/>
    <s v="Yes"/>
  </r>
  <r>
    <n v="5"/>
    <d v="2025-05-01T03:03:27"/>
    <d v="2025-05-01T03:07:41"/>
    <s v="anonymous"/>
    <m/>
    <m/>
    <x v="0"/>
    <n v="31"/>
    <s v="Faculty of Natural and Agricultural Sciences"/>
    <s v="2nd year"/>
    <n v="1"/>
    <n v="0"/>
    <n v="1"/>
    <n v="0"/>
    <n v="1"/>
    <n v="1"/>
    <n v="1"/>
    <x v="0"/>
    <s v="Daily"/>
    <n v="4"/>
    <s v="Cigarettes;"/>
    <s v="More than 2 years"/>
    <s v="Other;"/>
    <s v="It calms me down;"/>
    <m/>
    <m/>
    <m/>
    <m/>
  </r>
  <r>
    <n v="6"/>
    <d v="2025-05-01T05:58:31"/>
    <d v="2025-05-01T05:59:43"/>
    <s v="anonymous"/>
    <m/>
    <m/>
    <x v="1"/>
    <n v="21"/>
    <s v="Faculty of Law"/>
    <s v="2nd year"/>
    <n v="2"/>
    <n v="0"/>
    <n v="1"/>
    <n v="0"/>
    <n v="1"/>
    <n v="1"/>
    <n v="0"/>
    <x v="1"/>
    <m/>
    <m/>
    <m/>
    <m/>
    <m/>
    <m/>
    <s v="It's not my cup of tea;"/>
    <s v="I just haven't tried it yet;"/>
    <s v="Yes"/>
    <s v="No"/>
  </r>
  <r>
    <n v="7"/>
    <d v="2025-05-01T06:05:46"/>
    <d v="2025-05-01T06:06:52"/>
    <s v="anonymous"/>
    <m/>
    <m/>
    <x v="1"/>
    <n v="18"/>
    <s v="Faculty of Theology"/>
    <s v="2nd year"/>
    <n v="2"/>
    <n v="1"/>
    <n v="1"/>
    <n v="1"/>
    <n v="1"/>
    <n v="1"/>
    <n v="1"/>
    <x v="1"/>
    <m/>
    <m/>
    <m/>
    <m/>
    <m/>
    <m/>
    <s v="It's not my cup of tea;"/>
    <s v="It's not my cup of tea;"/>
    <s v="No"/>
    <s v="No"/>
  </r>
  <r>
    <n v="8"/>
    <d v="2025-05-01T08:27:10"/>
    <d v="2025-05-01T08:28:41"/>
    <s v="anonymous"/>
    <m/>
    <m/>
    <x v="0"/>
    <n v="25"/>
    <s v="Faculty of Education"/>
    <s v="3rd year "/>
    <n v="2"/>
    <n v="1"/>
    <n v="1"/>
    <n v="1"/>
    <n v="1"/>
    <n v="1"/>
    <n v="1"/>
    <x v="1"/>
    <m/>
    <m/>
    <m/>
    <m/>
    <m/>
    <m/>
    <s v="It destroys the body;It's a financial liability (every cent counts);Health Issues;"/>
    <s v="Health Issues ;It's a financial liability (every cent counts);"/>
    <s v="Yes"/>
    <s v="No"/>
  </r>
  <r>
    <n v="9"/>
    <d v="2025-05-01T08:41:43"/>
    <d v="2025-05-01T08:50:00"/>
    <s v="anonymous"/>
    <m/>
    <m/>
    <x v="1"/>
    <n v="24"/>
    <s v="Faculty of Theology"/>
    <s v="1st year"/>
    <n v="1"/>
    <n v="1"/>
    <n v="1"/>
    <n v="1"/>
    <n v="1"/>
    <n v="1"/>
    <n v="1"/>
    <x v="1"/>
    <m/>
    <m/>
    <m/>
    <m/>
    <m/>
    <m/>
    <s v="It's not my cup of tea;"/>
    <s v="I don't want the lifestyle;"/>
    <s v="Yes"/>
    <s v="Maybe"/>
  </r>
  <r>
    <n v="10"/>
    <d v="2025-05-01T09:13:15"/>
    <d v="2025-05-01T09:14:57"/>
    <s v="anonymous"/>
    <m/>
    <m/>
    <x v="0"/>
    <n v="20"/>
    <s v="Faculty of Law"/>
    <s v="3rd year "/>
    <n v="2"/>
    <n v="0"/>
    <n v="1"/>
    <n v="0"/>
    <n v="1"/>
    <n v="1"/>
    <n v="0"/>
    <x v="0"/>
    <s v="Daily"/>
    <n v="4"/>
    <s v="Marijuana;Vape;Cigarettes;"/>
    <s v="More than 2 years"/>
    <s v="Other;"/>
    <s v="It's became a force of habit"/>
    <m/>
    <m/>
    <m/>
    <m/>
  </r>
  <r>
    <n v="11"/>
    <d v="2025-05-01T13:19:39"/>
    <d v="2025-05-01T13:22:28"/>
    <s v="anonymous"/>
    <m/>
    <m/>
    <x v="1"/>
    <n v="20"/>
    <s v="Faculty of Economics and Management Sciences "/>
    <s v="2nd year"/>
    <n v="1"/>
    <n v="0"/>
    <n v="1"/>
    <n v="0"/>
    <n v="1"/>
    <n v="1"/>
    <n v="0"/>
    <x v="0"/>
    <s v="Occassionally"/>
    <n v="2"/>
    <s v="Cigarettes;Vape;"/>
    <s v="More than 2 years"/>
    <s v="Relief from Psychological Issues;"/>
    <s v="I find pleasure in it;"/>
    <m/>
    <m/>
    <m/>
    <m/>
  </r>
  <r>
    <n v="12"/>
    <d v="2025-05-01T13:24:57"/>
    <d v="2025-05-01T13:28:06"/>
    <s v="anonymous"/>
    <m/>
    <m/>
    <x v="0"/>
    <n v="21"/>
    <s v="Faculty of Economics and Management Sciences "/>
    <s v="1st year"/>
    <n v="3"/>
    <n v="0"/>
    <n v="1"/>
    <n v="0"/>
    <n v="0"/>
    <n v="0"/>
    <n v="0"/>
    <x v="0"/>
    <s v="Daily"/>
    <n v="2"/>
    <s v="Marijuana;"/>
    <s v="More than 2 years"/>
    <s v="Other;"/>
    <s v="It calms me down;"/>
    <m/>
    <m/>
    <m/>
    <m/>
  </r>
  <r>
    <n v="13"/>
    <d v="2025-05-01T13:57:02"/>
    <d v="2025-05-01T13:58:23"/>
    <s v="anonymous"/>
    <m/>
    <m/>
    <x v="1"/>
    <n v="19"/>
    <s v="Faculty of Education"/>
    <s v="2nd year"/>
    <n v="1"/>
    <n v="1"/>
    <n v="1"/>
    <n v="0"/>
    <n v="0"/>
    <n v="1"/>
    <n v="1"/>
    <x v="1"/>
    <m/>
    <m/>
    <m/>
    <m/>
    <m/>
    <m/>
    <s v="It's not my cup of tea;"/>
    <s v="It's not my cup of tea;"/>
    <s v="Yes"/>
    <s v="Maybe"/>
  </r>
  <r>
    <n v="14"/>
    <d v="2025-05-01T14:18:56"/>
    <d v="2025-05-01T14:20:20"/>
    <s v="anonymous"/>
    <m/>
    <m/>
    <x v="0"/>
    <n v="22"/>
    <s v="Faculty of Economics and Management Sciences "/>
    <s v="4th year"/>
    <n v="1"/>
    <n v="1"/>
    <n v="1"/>
    <n v="1"/>
    <n v="1"/>
    <n v="1"/>
    <n v="0"/>
    <x v="1"/>
    <m/>
    <m/>
    <m/>
    <m/>
    <m/>
    <m/>
    <s v="Societal Standards;Health Issues;It destroys the body;It's not my cup of tea;"/>
    <s v="Societal Standards;Health Issues ;It's not my cup of tea;"/>
    <s v="Yes"/>
    <s v="No"/>
  </r>
  <r>
    <n v="15"/>
    <d v="2025-05-01T14:19:03"/>
    <d v="2025-05-01T14:20:41"/>
    <s v="anonymous"/>
    <m/>
    <m/>
    <x v="1"/>
    <n v="22"/>
    <s v="Faculty of Education"/>
    <s v="1st year"/>
    <n v="3"/>
    <n v="1"/>
    <n v="1"/>
    <n v="0"/>
    <n v="0"/>
    <n v="0"/>
    <n v="0"/>
    <x v="1"/>
    <m/>
    <m/>
    <m/>
    <m/>
    <m/>
    <m/>
    <s v="It's not my cup of tea;Health Issues;It destroys the body;Societal Standards;"/>
    <s v="Health Issues ;It's not my cup of tea;I just haven't tried it yet;It's a financial liability (every cent counts);Societal Standards;"/>
    <s v="No"/>
    <s v="No"/>
  </r>
  <r>
    <n v="16"/>
    <d v="2025-05-01T14:32:12"/>
    <d v="2025-05-01T14:33:18"/>
    <s v="anonymous"/>
    <m/>
    <m/>
    <x v="0"/>
    <n v="23"/>
    <s v="Faculty of Natural and Agricultural Sciences"/>
    <s v="1st year"/>
    <n v="1"/>
    <n v="1"/>
    <n v="1"/>
    <n v="1"/>
    <n v="1"/>
    <n v="1"/>
    <n v="1"/>
    <x v="1"/>
    <m/>
    <m/>
    <m/>
    <m/>
    <m/>
    <m/>
    <s v="It's not my cup of tea;"/>
    <s v="It's not my cup of tea;"/>
    <s v="No"/>
    <s v="No"/>
  </r>
  <r>
    <n v="17"/>
    <d v="2025-05-01T15:03:58"/>
    <d v="2025-05-01T15:05:28"/>
    <s v="anonymous"/>
    <m/>
    <m/>
    <x v="0"/>
    <n v="23"/>
    <s v="Faculty of Natural and Agricultural Sciences"/>
    <s v="3rd year "/>
    <n v="3"/>
    <n v="0"/>
    <n v="1"/>
    <n v="0"/>
    <n v="1"/>
    <n v="1"/>
    <n v="0"/>
    <x v="1"/>
    <m/>
    <m/>
    <m/>
    <m/>
    <m/>
    <m/>
    <s v="Health Issues;It destroys the body;It's not my cup of tea;"/>
    <s v="Health Issues ;It's not my cup of tea;"/>
    <s v="Yes"/>
    <s v="Yes"/>
  </r>
  <r>
    <n v="18"/>
    <d v="2025-05-01T15:56:11"/>
    <d v="2025-05-01T15:59:05"/>
    <s v="anonymous"/>
    <m/>
    <m/>
    <x v="1"/>
    <n v="19"/>
    <s v="Faculty of Health Sciences "/>
    <s v="2nd year"/>
    <n v="2"/>
    <n v="1"/>
    <n v="1"/>
    <n v="0"/>
    <n v="1"/>
    <n v="1"/>
    <n v="0"/>
    <x v="1"/>
    <m/>
    <m/>
    <m/>
    <m/>
    <m/>
    <m/>
    <s v="It's not my cup of tea;"/>
    <s v="It's not my cup of tea;"/>
    <s v="Yes"/>
    <s v="No"/>
  </r>
  <r>
    <n v="19"/>
    <d v="2025-05-01T18:11:56"/>
    <d v="2025-05-01T18:13:32"/>
    <s v="anonymous"/>
    <m/>
    <m/>
    <x v="1"/>
    <n v="23"/>
    <s v="Faculty of Education"/>
    <s v="4th year"/>
    <n v="2"/>
    <n v="1"/>
    <n v="1"/>
    <n v="0"/>
    <n v="0"/>
    <n v="1"/>
    <n v="0"/>
    <x v="1"/>
    <m/>
    <m/>
    <m/>
    <m/>
    <m/>
    <m/>
    <s v="It's not my cup of tea;"/>
    <s v="I just haven't tried it yet;It's not my cup of tea;Health Issues ;"/>
    <s v="Yes"/>
    <s v="No"/>
  </r>
  <r>
    <n v="20"/>
    <d v="2025-05-01T19:05:44"/>
    <d v="2025-05-01T19:07:14"/>
    <s v="anonymous"/>
    <m/>
    <m/>
    <x v="0"/>
    <n v="19"/>
    <s v="Faculty of Law"/>
    <s v="1st year"/>
    <n v="1"/>
    <n v="1"/>
    <n v="1"/>
    <n v="1"/>
    <n v="1"/>
    <n v="1"/>
    <n v="0"/>
    <x v="0"/>
    <s v="Daily"/>
    <n v="3"/>
    <s v="Vape;Cigarettes;"/>
    <s v="7 - 12 months"/>
    <s v="Relief from Psychological Issues;"/>
    <s v="I find pleasure in it;It calms me down;"/>
    <m/>
    <m/>
    <m/>
    <m/>
  </r>
  <r>
    <n v="21"/>
    <d v="2025-05-01T19:51:01"/>
    <d v="2025-05-01T19:52:03"/>
    <s v="anonymous"/>
    <m/>
    <m/>
    <x v="2"/>
    <n v="20"/>
    <s v="Faculty of Theology"/>
    <s v="3rd year "/>
    <n v="1"/>
    <n v="1"/>
    <n v="1"/>
    <n v="1"/>
    <n v="1"/>
    <n v="1"/>
    <n v="0"/>
    <x v="0"/>
    <s v="Occassionally"/>
    <n v="1"/>
    <s v="Marijuana;"/>
    <s v="0 - 6 months"/>
    <s v="Relief from Psychological Issues;Other;"/>
    <s v="It calms me down;It's become a force of habit;I find pleasure in it;"/>
    <m/>
    <m/>
    <m/>
    <m/>
  </r>
  <r>
    <n v="22"/>
    <d v="2025-05-02T01:47:27"/>
    <d v="2025-05-02T01:50:01"/>
    <s v="anonymous"/>
    <m/>
    <m/>
    <x v="0"/>
    <n v="22"/>
    <s v="Faculty of Health Sciences "/>
    <s v="4th year"/>
    <n v="1"/>
    <n v="1"/>
    <n v="1"/>
    <n v="1"/>
    <n v="1"/>
    <n v="1"/>
    <n v="1"/>
    <x v="1"/>
    <m/>
    <m/>
    <m/>
    <m/>
    <m/>
    <m/>
    <s v="It destroys the body;"/>
    <s v="It's not my cup of tea;"/>
    <s v="No"/>
    <s v="Maybe"/>
  </r>
  <r>
    <n v="23"/>
    <d v="2025-05-02T18:58:49"/>
    <d v="2025-05-02T19:02:47"/>
    <s v="anonymous"/>
    <m/>
    <m/>
    <x v="1"/>
    <n v="19"/>
    <s v="Faculty of Health Sciences "/>
    <s v="1st year"/>
    <n v="2"/>
    <n v="1"/>
    <n v="1"/>
    <n v="1"/>
    <n v="1"/>
    <n v="1"/>
    <n v="0"/>
    <x v="1"/>
    <m/>
    <m/>
    <m/>
    <m/>
    <m/>
    <m/>
    <s v="It's not my cup of tea;It destroys the body;"/>
    <s v="It's not my cup of tea;"/>
    <s v="Yes"/>
    <s v="No"/>
  </r>
  <r>
    <n v="24"/>
    <d v="2025-05-03T03:47:22"/>
    <d v="2025-05-03T03:49:20"/>
    <s v="anonymous"/>
    <m/>
    <m/>
    <x v="0"/>
    <n v="19"/>
    <s v="Faculty of Humanities"/>
    <s v="1st year"/>
    <n v="2"/>
    <n v="0"/>
    <n v="1"/>
    <n v="0"/>
    <n v="1"/>
    <n v="1"/>
    <n v="0"/>
    <x v="1"/>
    <m/>
    <m/>
    <m/>
    <m/>
    <m/>
    <m/>
    <s v="Societal Standards;"/>
    <s v="I just haven't tried it yet;"/>
    <s v="No"/>
    <s v="Yes"/>
  </r>
  <r>
    <n v="25"/>
    <d v="2025-05-03T03:52:10"/>
    <d v="2025-05-03T03:58:16"/>
    <s v="anonymous"/>
    <m/>
    <m/>
    <x v="1"/>
    <n v="22"/>
    <s v="Faculty of Health Sciences "/>
    <s v="4th year"/>
    <n v="1"/>
    <n v="1"/>
    <n v="1"/>
    <n v="1"/>
    <n v="1"/>
    <n v="1"/>
    <n v="0"/>
    <x v="1"/>
    <m/>
    <m/>
    <m/>
    <m/>
    <m/>
    <m/>
    <s v="It destroys the body;Health Issues;"/>
    <s v="It's a financial liability (every cent counts);Health Issues ;It's not my cup of tea;"/>
    <s v="Yes"/>
    <s v="No"/>
  </r>
  <r>
    <n v="26"/>
    <d v="2025-05-03T12:43:55"/>
    <d v="2025-05-03T12:45:05"/>
    <s v="anonymous"/>
    <m/>
    <m/>
    <x v="0"/>
    <n v="20"/>
    <s v="Faculty of Humanities"/>
    <s v="1st year"/>
    <n v="3"/>
    <n v="0"/>
    <n v="1"/>
    <n v="0"/>
    <n v="0"/>
    <n v="1"/>
    <n v="0"/>
    <x v="1"/>
    <m/>
    <m/>
    <m/>
    <m/>
    <m/>
    <m/>
    <s v="It's not my cup of tea;"/>
    <s v="It's not my cup of tea;"/>
    <s v="No"/>
    <s v="No"/>
  </r>
  <r>
    <n v="27"/>
    <d v="2025-05-04T00:30:04"/>
    <d v="2025-05-04T00:32:57"/>
    <s v="anonymous"/>
    <m/>
    <m/>
    <x v="0"/>
    <n v="19"/>
    <s v="Faculty of Health Sciences "/>
    <s v="3rd year "/>
    <n v="2"/>
    <n v="0"/>
    <n v="1"/>
    <n v="0"/>
    <n v="0"/>
    <n v="1"/>
    <n v="0"/>
    <x v="0"/>
    <s v="Daily"/>
    <n v="6"/>
    <s v="Cigarettes;"/>
    <s v="7 - 12 months"/>
    <s v="Other;"/>
    <s v="I find pleasure in it;"/>
    <m/>
    <m/>
    <m/>
    <m/>
  </r>
  <r>
    <n v="28"/>
    <d v="2025-05-04T00:53:34"/>
    <d v="2025-05-04T00:54:52"/>
    <s v="anonymous"/>
    <m/>
    <m/>
    <x v="1"/>
    <n v="20"/>
    <s v="Faculty of Natural and Agricultural Sciences"/>
    <s v="2nd year"/>
    <n v="2"/>
    <n v="1"/>
    <n v="1"/>
    <n v="0"/>
    <n v="1"/>
    <n v="1"/>
    <n v="0"/>
    <x v="0"/>
    <s v="Occassionally"/>
    <n v="1"/>
    <s v="Marijuana;"/>
    <s v="7 - 12 months"/>
    <s v="Other;"/>
    <s v="I find pleasure in it;"/>
    <m/>
    <m/>
    <m/>
    <m/>
  </r>
  <r>
    <n v="30"/>
    <d v="2025-05-04T00:30:04"/>
    <d v="2025-05-04T00:32:57"/>
    <s v="anonymous"/>
    <m/>
    <m/>
    <x v="0"/>
    <n v="19"/>
    <s v="Faculty of Health Sciences "/>
    <s v="3rd year "/>
    <n v="2"/>
    <n v="0"/>
    <n v="1"/>
    <n v="0"/>
    <n v="0"/>
    <n v="1"/>
    <n v="0"/>
    <x v="0"/>
    <s v="Daily"/>
    <n v="6"/>
    <s v="Cigarettes;"/>
    <s v="7 - 12 months"/>
    <s v="Other;"/>
    <s v="I find pleasure in it;"/>
    <m/>
    <m/>
    <m/>
    <m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9">
  <r>
    <n v="1"/>
    <x v="0"/>
    <x v="0"/>
    <x v="0"/>
    <x v="0"/>
    <x v="0"/>
    <x v="0"/>
    <x v="0"/>
    <x v="0"/>
    <x v="0"/>
    <x v="0"/>
    <n v="1"/>
    <n v="1"/>
    <n v="0"/>
    <n v="1"/>
    <n v="1"/>
    <n v="0"/>
    <x v="0"/>
    <x v="0"/>
    <n v="2"/>
    <x v="0"/>
    <x v="0"/>
    <x v="0"/>
    <x v="0"/>
    <x v="0"/>
    <x v="0"/>
    <x v="0"/>
    <x v="0"/>
  </r>
  <r>
    <n v="2"/>
    <x v="1"/>
    <x v="1"/>
    <x v="0"/>
    <x v="0"/>
    <x v="0"/>
    <x v="1"/>
    <x v="1"/>
    <x v="1"/>
    <x v="0"/>
    <x v="0"/>
    <n v="0"/>
    <n v="1"/>
    <n v="0"/>
    <n v="1"/>
    <n v="1"/>
    <n v="0"/>
    <x v="1"/>
    <x v="1"/>
    <m/>
    <x v="1"/>
    <x v="1"/>
    <x v="1"/>
    <x v="1"/>
    <x v="1"/>
    <x v="1"/>
    <x v="1"/>
    <x v="1"/>
  </r>
  <r>
    <n v="3"/>
    <x v="2"/>
    <x v="2"/>
    <x v="0"/>
    <x v="0"/>
    <x v="0"/>
    <x v="1"/>
    <x v="2"/>
    <x v="2"/>
    <x v="1"/>
    <x v="0"/>
    <n v="0"/>
    <n v="1"/>
    <n v="0"/>
    <n v="0"/>
    <n v="1"/>
    <n v="0"/>
    <x v="0"/>
    <x v="0"/>
    <n v="1"/>
    <x v="2"/>
    <x v="2"/>
    <x v="2"/>
    <x v="2"/>
    <x v="0"/>
    <x v="0"/>
    <x v="0"/>
    <x v="0"/>
  </r>
  <r>
    <n v="4"/>
    <x v="3"/>
    <x v="3"/>
    <x v="0"/>
    <x v="0"/>
    <x v="0"/>
    <x v="1"/>
    <x v="3"/>
    <x v="3"/>
    <x v="2"/>
    <x v="0"/>
    <n v="1"/>
    <n v="1"/>
    <n v="1"/>
    <n v="1"/>
    <n v="1"/>
    <n v="0"/>
    <x v="1"/>
    <x v="1"/>
    <m/>
    <x v="1"/>
    <x v="1"/>
    <x v="1"/>
    <x v="1"/>
    <x v="2"/>
    <x v="2"/>
    <x v="2"/>
    <x v="2"/>
  </r>
  <r>
    <n v="5"/>
    <x v="4"/>
    <x v="4"/>
    <x v="0"/>
    <x v="0"/>
    <x v="0"/>
    <x v="0"/>
    <x v="4"/>
    <x v="0"/>
    <x v="1"/>
    <x v="0"/>
    <n v="0"/>
    <n v="1"/>
    <n v="0"/>
    <n v="1"/>
    <n v="1"/>
    <n v="1"/>
    <x v="0"/>
    <x v="2"/>
    <n v="4"/>
    <x v="3"/>
    <x v="0"/>
    <x v="3"/>
    <x v="2"/>
    <x v="0"/>
    <x v="0"/>
    <x v="0"/>
    <x v="0"/>
  </r>
  <r>
    <n v="6"/>
    <x v="5"/>
    <x v="5"/>
    <x v="0"/>
    <x v="0"/>
    <x v="0"/>
    <x v="1"/>
    <x v="1"/>
    <x v="3"/>
    <x v="1"/>
    <x v="1"/>
    <n v="0"/>
    <n v="1"/>
    <n v="0"/>
    <n v="1"/>
    <n v="1"/>
    <n v="0"/>
    <x v="1"/>
    <x v="1"/>
    <m/>
    <x v="1"/>
    <x v="1"/>
    <x v="1"/>
    <x v="1"/>
    <x v="3"/>
    <x v="3"/>
    <x v="2"/>
    <x v="1"/>
  </r>
  <r>
    <n v="7"/>
    <x v="6"/>
    <x v="6"/>
    <x v="0"/>
    <x v="0"/>
    <x v="0"/>
    <x v="1"/>
    <x v="5"/>
    <x v="4"/>
    <x v="1"/>
    <x v="1"/>
    <n v="1"/>
    <n v="1"/>
    <n v="1"/>
    <n v="1"/>
    <n v="1"/>
    <n v="1"/>
    <x v="1"/>
    <x v="1"/>
    <m/>
    <x v="1"/>
    <x v="1"/>
    <x v="1"/>
    <x v="1"/>
    <x v="3"/>
    <x v="4"/>
    <x v="1"/>
    <x v="1"/>
  </r>
  <r>
    <n v="8"/>
    <x v="7"/>
    <x v="7"/>
    <x v="0"/>
    <x v="0"/>
    <x v="0"/>
    <x v="0"/>
    <x v="6"/>
    <x v="5"/>
    <x v="2"/>
    <x v="1"/>
    <n v="1"/>
    <n v="1"/>
    <n v="1"/>
    <n v="1"/>
    <n v="1"/>
    <n v="1"/>
    <x v="1"/>
    <x v="1"/>
    <m/>
    <x v="1"/>
    <x v="1"/>
    <x v="1"/>
    <x v="1"/>
    <x v="4"/>
    <x v="5"/>
    <x v="2"/>
    <x v="1"/>
  </r>
  <r>
    <n v="9"/>
    <x v="8"/>
    <x v="8"/>
    <x v="0"/>
    <x v="0"/>
    <x v="0"/>
    <x v="1"/>
    <x v="7"/>
    <x v="4"/>
    <x v="3"/>
    <x v="0"/>
    <n v="1"/>
    <n v="1"/>
    <n v="1"/>
    <n v="1"/>
    <n v="1"/>
    <n v="1"/>
    <x v="1"/>
    <x v="1"/>
    <m/>
    <x v="1"/>
    <x v="1"/>
    <x v="1"/>
    <x v="1"/>
    <x v="3"/>
    <x v="6"/>
    <x v="2"/>
    <x v="3"/>
  </r>
  <r>
    <n v="10"/>
    <x v="9"/>
    <x v="9"/>
    <x v="0"/>
    <x v="0"/>
    <x v="0"/>
    <x v="0"/>
    <x v="2"/>
    <x v="3"/>
    <x v="2"/>
    <x v="1"/>
    <n v="0"/>
    <n v="1"/>
    <n v="0"/>
    <n v="1"/>
    <n v="1"/>
    <n v="0"/>
    <x v="0"/>
    <x v="2"/>
    <n v="4"/>
    <x v="4"/>
    <x v="0"/>
    <x v="3"/>
    <x v="3"/>
    <x v="0"/>
    <x v="0"/>
    <x v="0"/>
    <x v="0"/>
  </r>
  <r>
    <n v="11"/>
    <x v="10"/>
    <x v="10"/>
    <x v="0"/>
    <x v="0"/>
    <x v="0"/>
    <x v="1"/>
    <x v="2"/>
    <x v="1"/>
    <x v="1"/>
    <x v="0"/>
    <n v="0"/>
    <n v="1"/>
    <n v="0"/>
    <n v="1"/>
    <n v="1"/>
    <n v="0"/>
    <x v="0"/>
    <x v="3"/>
    <n v="2"/>
    <x v="5"/>
    <x v="0"/>
    <x v="4"/>
    <x v="4"/>
    <x v="0"/>
    <x v="0"/>
    <x v="0"/>
    <x v="0"/>
  </r>
  <r>
    <n v="12"/>
    <x v="11"/>
    <x v="11"/>
    <x v="0"/>
    <x v="0"/>
    <x v="0"/>
    <x v="0"/>
    <x v="1"/>
    <x v="1"/>
    <x v="3"/>
    <x v="2"/>
    <n v="0"/>
    <n v="1"/>
    <n v="0"/>
    <n v="0"/>
    <n v="0"/>
    <n v="0"/>
    <x v="0"/>
    <x v="2"/>
    <n v="2"/>
    <x v="2"/>
    <x v="0"/>
    <x v="3"/>
    <x v="2"/>
    <x v="0"/>
    <x v="0"/>
    <x v="0"/>
    <x v="0"/>
  </r>
  <r>
    <n v="13"/>
    <x v="12"/>
    <x v="12"/>
    <x v="0"/>
    <x v="0"/>
    <x v="0"/>
    <x v="1"/>
    <x v="8"/>
    <x v="5"/>
    <x v="1"/>
    <x v="0"/>
    <n v="1"/>
    <n v="1"/>
    <n v="0"/>
    <n v="0"/>
    <n v="1"/>
    <n v="1"/>
    <x v="1"/>
    <x v="1"/>
    <m/>
    <x v="1"/>
    <x v="1"/>
    <x v="1"/>
    <x v="1"/>
    <x v="3"/>
    <x v="4"/>
    <x v="2"/>
    <x v="3"/>
  </r>
  <r>
    <n v="14"/>
    <x v="13"/>
    <x v="13"/>
    <x v="0"/>
    <x v="0"/>
    <x v="0"/>
    <x v="0"/>
    <x v="3"/>
    <x v="1"/>
    <x v="2"/>
    <x v="0"/>
    <n v="1"/>
    <n v="1"/>
    <n v="1"/>
    <n v="1"/>
    <n v="1"/>
    <n v="0"/>
    <x v="1"/>
    <x v="1"/>
    <m/>
    <x v="1"/>
    <x v="1"/>
    <x v="1"/>
    <x v="1"/>
    <x v="5"/>
    <x v="7"/>
    <x v="2"/>
    <x v="1"/>
  </r>
  <r>
    <n v="15"/>
    <x v="14"/>
    <x v="14"/>
    <x v="0"/>
    <x v="0"/>
    <x v="0"/>
    <x v="1"/>
    <x v="3"/>
    <x v="5"/>
    <x v="3"/>
    <x v="2"/>
    <n v="1"/>
    <n v="1"/>
    <n v="0"/>
    <n v="0"/>
    <n v="0"/>
    <n v="0"/>
    <x v="1"/>
    <x v="1"/>
    <m/>
    <x v="1"/>
    <x v="1"/>
    <x v="1"/>
    <x v="1"/>
    <x v="6"/>
    <x v="8"/>
    <x v="1"/>
    <x v="1"/>
  </r>
  <r>
    <n v="16"/>
    <x v="15"/>
    <x v="15"/>
    <x v="0"/>
    <x v="0"/>
    <x v="0"/>
    <x v="0"/>
    <x v="0"/>
    <x v="0"/>
    <x v="3"/>
    <x v="0"/>
    <n v="1"/>
    <n v="1"/>
    <n v="1"/>
    <n v="1"/>
    <n v="1"/>
    <n v="1"/>
    <x v="1"/>
    <x v="1"/>
    <m/>
    <x v="1"/>
    <x v="1"/>
    <x v="1"/>
    <x v="1"/>
    <x v="3"/>
    <x v="4"/>
    <x v="1"/>
    <x v="1"/>
  </r>
  <r>
    <n v="17"/>
    <x v="16"/>
    <x v="16"/>
    <x v="0"/>
    <x v="0"/>
    <x v="0"/>
    <x v="0"/>
    <x v="0"/>
    <x v="0"/>
    <x v="2"/>
    <x v="2"/>
    <n v="0"/>
    <n v="1"/>
    <n v="0"/>
    <n v="1"/>
    <n v="1"/>
    <n v="0"/>
    <x v="1"/>
    <x v="1"/>
    <m/>
    <x v="1"/>
    <x v="1"/>
    <x v="1"/>
    <x v="1"/>
    <x v="7"/>
    <x v="9"/>
    <x v="2"/>
    <x v="2"/>
  </r>
  <r>
    <n v="18"/>
    <x v="17"/>
    <x v="17"/>
    <x v="0"/>
    <x v="0"/>
    <x v="0"/>
    <x v="1"/>
    <x v="8"/>
    <x v="6"/>
    <x v="1"/>
    <x v="1"/>
    <n v="1"/>
    <n v="1"/>
    <n v="0"/>
    <n v="1"/>
    <n v="1"/>
    <n v="0"/>
    <x v="1"/>
    <x v="1"/>
    <m/>
    <x v="1"/>
    <x v="1"/>
    <x v="1"/>
    <x v="1"/>
    <x v="3"/>
    <x v="4"/>
    <x v="2"/>
    <x v="1"/>
  </r>
  <r>
    <n v="19"/>
    <x v="18"/>
    <x v="18"/>
    <x v="0"/>
    <x v="0"/>
    <x v="0"/>
    <x v="1"/>
    <x v="0"/>
    <x v="5"/>
    <x v="0"/>
    <x v="1"/>
    <n v="1"/>
    <n v="1"/>
    <n v="0"/>
    <n v="0"/>
    <n v="1"/>
    <n v="0"/>
    <x v="1"/>
    <x v="1"/>
    <m/>
    <x v="1"/>
    <x v="1"/>
    <x v="1"/>
    <x v="1"/>
    <x v="3"/>
    <x v="10"/>
    <x v="2"/>
    <x v="1"/>
  </r>
  <r>
    <n v="20"/>
    <x v="19"/>
    <x v="19"/>
    <x v="0"/>
    <x v="0"/>
    <x v="0"/>
    <x v="0"/>
    <x v="8"/>
    <x v="3"/>
    <x v="3"/>
    <x v="0"/>
    <n v="1"/>
    <n v="1"/>
    <n v="1"/>
    <n v="1"/>
    <n v="1"/>
    <n v="0"/>
    <x v="0"/>
    <x v="2"/>
    <n v="3"/>
    <x v="6"/>
    <x v="3"/>
    <x v="4"/>
    <x v="5"/>
    <x v="0"/>
    <x v="0"/>
    <x v="0"/>
    <x v="0"/>
  </r>
  <r>
    <n v="21"/>
    <x v="20"/>
    <x v="20"/>
    <x v="0"/>
    <x v="0"/>
    <x v="0"/>
    <x v="2"/>
    <x v="2"/>
    <x v="4"/>
    <x v="2"/>
    <x v="0"/>
    <n v="1"/>
    <n v="1"/>
    <n v="1"/>
    <n v="1"/>
    <n v="1"/>
    <n v="0"/>
    <x v="0"/>
    <x v="3"/>
    <n v="1"/>
    <x v="2"/>
    <x v="2"/>
    <x v="5"/>
    <x v="6"/>
    <x v="0"/>
    <x v="0"/>
    <x v="0"/>
    <x v="0"/>
  </r>
  <r>
    <n v="22"/>
    <x v="21"/>
    <x v="21"/>
    <x v="0"/>
    <x v="0"/>
    <x v="0"/>
    <x v="0"/>
    <x v="3"/>
    <x v="6"/>
    <x v="0"/>
    <x v="0"/>
    <n v="1"/>
    <n v="1"/>
    <n v="1"/>
    <n v="1"/>
    <n v="1"/>
    <n v="1"/>
    <x v="1"/>
    <x v="1"/>
    <m/>
    <x v="1"/>
    <x v="1"/>
    <x v="1"/>
    <x v="1"/>
    <x v="8"/>
    <x v="4"/>
    <x v="1"/>
    <x v="3"/>
  </r>
  <r>
    <n v="23"/>
    <x v="22"/>
    <x v="22"/>
    <x v="0"/>
    <x v="0"/>
    <x v="0"/>
    <x v="1"/>
    <x v="8"/>
    <x v="6"/>
    <x v="3"/>
    <x v="1"/>
    <n v="1"/>
    <n v="1"/>
    <n v="1"/>
    <n v="1"/>
    <n v="1"/>
    <n v="0"/>
    <x v="1"/>
    <x v="1"/>
    <m/>
    <x v="1"/>
    <x v="1"/>
    <x v="1"/>
    <x v="1"/>
    <x v="9"/>
    <x v="4"/>
    <x v="2"/>
    <x v="1"/>
  </r>
  <r>
    <n v="24"/>
    <x v="23"/>
    <x v="23"/>
    <x v="0"/>
    <x v="0"/>
    <x v="0"/>
    <x v="0"/>
    <x v="8"/>
    <x v="2"/>
    <x v="3"/>
    <x v="1"/>
    <n v="0"/>
    <n v="1"/>
    <n v="0"/>
    <n v="1"/>
    <n v="1"/>
    <n v="0"/>
    <x v="1"/>
    <x v="1"/>
    <m/>
    <x v="1"/>
    <x v="1"/>
    <x v="1"/>
    <x v="1"/>
    <x v="10"/>
    <x v="3"/>
    <x v="1"/>
    <x v="2"/>
  </r>
  <r>
    <n v="25"/>
    <x v="24"/>
    <x v="24"/>
    <x v="0"/>
    <x v="0"/>
    <x v="0"/>
    <x v="1"/>
    <x v="3"/>
    <x v="6"/>
    <x v="4"/>
    <x v="0"/>
    <n v="1"/>
    <n v="1"/>
    <n v="1"/>
    <n v="1"/>
    <n v="1"/>
    <n v="0"/>
    <x v="1"/>
    <x v="1"/>
    <m/>
    <x v="1"/>
    <x v="1"/>
    <x v="1"/>
    <x v="1"/>
    <x v="11"/>
    <x v="11"/>
    <x v="2"/>
    <x v="1"/>
  </r>
  <r>
    <n v="26"/>
    <x v="25"/>
    <x v="25"/>
    <x v="0"/>
    <x v="0"/>
    <x v="0"/>
    <x v="0"/>
    <x v="2"/>
    <x v="2"/>
    <x v="3"/>
    <x v="2"/>
    <n v="0"/>
    <n v="1"/>
    <n v="0"/>
    <n v="0"/>
    <n v="1"/>
    <n v="0"/>
    <x v="1"/>
    <x v="1"/>
    <m/>
    <x v="1"/>
    <x v="1"/>
    <x v="1"/>
    <x v="1"/>
    <x v="3"/>
    <x v="4"/>
    <x v="1"/>
    <x v="1"/>
  </r>
  <r>
    <n v="27"/>
    <x v="26"/>
    <x v="26"/>
    <x v="0"/>
    <x v="0"/>
    <x v="0"/>
    <x v="0"/>
    <x v="9"/>
    <x v="6"/>
    <x v="2"/>
    <x v="1"/>
    <n v="0"/>
    <n v="1"/>
    <n v="0"/>
    <n v="0"/>
    <n v="1"/>
    <n v="0"/>
    <x v="0"/>
    <x v="2"/>
    <n v="6"/>
    <x v="3"/>
    <x v="3"/>
    <x v="3"/>
    <x v="4"/>
    <x v="0"/>
    <x v="0"/>
    <x v="0"/>
    <x v="0"/>
  </r>
  <r>
    <n v="28"/>
    <x v="27"/>
    <x v="27"/>
    <x v="0"/>
    <x v="0"/>
    <x v="0"/>
    <x v="1"/>
    <x v="2"/>
    <x v="0"/>
    <x v="1"/>
    <x v="1"/>
    <n v="1"/>
    <n v="1"/>
    <n v="0"/>
    <n v="1"/>
    <n v="1"/>
    <n v="0"/>
    <x v="0"/>
    <x v="3"/>
    <n v="1"/>
    <x v="2"/>
    <x v="3"/>
    <x v="3"/>
    <x v="4"/>
    <x v="0"/>
    <x v="0"/>
    <x v="0"/>
    <x v="0"/>
  </r>
  <r>
    <n v="30"/>
    <x v="26"/>
    <x v="26"/>
    <x v="0"/>
    <x v="0"/>
    <x v="0"/>
    <x v="0"/>
    <x v="8"/>
    <x v="6"/>
    <x v="2"/>
    <x v="1"/>
    <n v="0"/>
    <n v="1"/>
    <n v="0"/>
    <n v="0"/>
    <n v="1"/>
    <n v="0"/>
    <x v="0"/>
    <x v="2"/>
    <n v="6"/>
    <x v="3"/>
    <x v="3"/>
    <x v="3"/>
    <x v="4"/>
    <x v="0"/>
    <x v="0"/>
    <x v="0"/>
    <x v="0"/>
  </r>
</pivotCacheRecords>
</file>

<file path=xl/pivotCache/pivotCacheRecords5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1">
  <r>
    <n v="1"/>
    <d v="2025-04-30T22:53:22"/>
    <d v="2025-04-30T22:55:23"/>
    <s v="anonymous"/>
    <m/>
    <m/>
    <x v="0"/>
    <n v="23"/>
    <x v="0"/>
    <x v="0"/>
    <n v="1"/>
    <n v="1"/>
    <n v="1"/>
    <n v="0"/>
    <n v="1"/>
    <n v="1"/>
    <n v="0"/>
    <n v="1"/>
    <x v="0"/>
    <x v="0"/>
    <s v="Hubbly;Vape;Cigarettes;Marijuana;"/>
    <x v="0"/>
    <s v="Learnt from family members;Stress ;Other;"/>
    <s v="I find pleasure in it"/>
    <x v="0"/>
    <n v="2"/>
  </r>
  <r>
    <n v="3"/>
    <d v="2025-04-30T23:17:39"/>
    <d v="2025-04-30T23:19:01"/>
    <s v="anonymous"/>
    <m/>
    <m/>
    <x v="1"/>
    <n v="20"/>
    <x v="1"/>
    <x v="1"/>
    <n v="1"/>
    <n v="0"/>
    <n v="1"/>
    <n v="0"/>
    <n v="0"/>
    <n v="1"/>
    <n v="0"/>
    <n v="1"/>
    <x v="0"/>
    <x v="1"/>
    <s v="Marijuana;"/>
    <x v="1"/>
    <s v="Stress ;"/>
    <s v="It calms me down;"/>
    <x v="1"/>
    <n v="1"/>
  </r>
  <r>
    <n v="5"/>
    <d v="2025-05-01T03:03:27"/>
    <d v="2025-05-01T03:07:41"/>
    <s v="anonymous"/>
    <m/>
    <m/>
    <x v="0"/>
    <n v="31"/>
    <x v="0"/>
    <x v="1"/>
    <n v="1"/>
    <n v="0"/>
    <n v="1"/>
    <n v="0"/>
    <n v="1"/>
    <n v="1"/>
    <n v="1"/>
    <n v="1"/>
    <x v="1"/>
    <x v="2"/>
    <s v="Cigarettes;"/>
    <x v="0"/>
    <s v="Other;"/>
    <s v="It calms me down;"/>
    <x v="0"/>
    <n v="4"/>
  </r>
  <r>
    <n v="10"/>
    <d v="2025-05-01T09:13:15"/>
    <d v="2025-05-01T09:14:57"/>
    <s v="anonymous"/>
    <m/>
    <m/>
    <x v="0"/>
    <n v="20"/>
    <x v="2"/>
    <x v="2"/>
    <n v="2"/>
    <n v="0"/>
    <n v="1"/>
    <n v="0"/>
    <n v="1"/>
    <n v="1"/>
    <n v="0"/>
    <n v="1"/>
    <x v="1"/>
    <x v="2"/>
    <s v="Marijuana;Vape;Cigarettes;"/>
    <x v="0"/>
    <s v="Other;"/>
    <s v="It's become a force of habit;"/>
    <x v="2"/>
    <n v="4"/>
  </r>
  <r>
    <n v="11"/>
    <d v="2025-05-01T13:19:39"/>
    <d v="2025-05-01T13:22:28"/>
    <s v="anonymous"/>
    <m/>
    <m/>
    <x v="1"/>
    <n v="20"/>
    <x v="3"/>
    <x v="1"/>
    <n v="1"/>
    <n v="0"/>
    <n v="1"/>
    <n v="0"/>
    <n v="1"/>
    <n v="1"/>
    <n v="0"/>
    <n v="1"/>
    <x v="2"/>
    <x v="0"/>
    <s v="Cigarettes;Vape;"/>
    <x v="0"/>
    <s v="Relief from Psychological Issues;"/>
    <s v="I find pleasure in it;"/>
    <x v="2"/>
    <n v="2"/>
  </r>
  <r>
    <n v="12"/>
    <d v="2025-05-01T13:24:57"/>
    <d v="2025-05-01T13:28:06"/>
    <s v="anonymous"/>
    <m/>
    <m/>
    <x v="0"/>
    <n v="21"/>
    <x v="3"/>
    <x v="3"/>
    <n v="3"/>
    <n v="0"/>
    <n v="1"/>
    <n v="0"/>
    <n v="0"/>
    <n v="0"/>
    <n v="0"/>
    <n v="1"/>
    <x v="1"/>
    <x v="0"/>
    <s v="Marijuana;"/>
    <x v="0"/>
    <s v="Other;"/>
    <s v="It calms me down;"/>
    <x v="3"/>
    <n v="2"/>
  </r>
  <r>
    <n v="20"/>
    <d v="2025-05-01T19:05:44"/>
    <d v="2025-05-01T19:07:14"/>
    <s v="anonymous"/>
    <m/>
    <m/>
    <x v="0"/>
    <n v="19"/>
    <x v="2"/>
    <x v="3"/>
    <n v="1"/>
    <n v="1"/>
    <n v="1"/>
    <n v="1"/>
    <n v="1"/>
    <n v="1"/>
    <n v="0"/>
    <n v="1"/>
    <x v="1"/>
    <x v="3"/>
    <s v="Vape;Cigarettes;"/>
    <x v="2"/>
    <s v="Relief from Psychological Issues;"/>
    <s v="I find pleasure in it;It calms me down;"/>
    <x v="4"/>
    <n v="3"/>
  </r>
  <r>
    <n v="21"/>
    <d v="2025-05-01T19:51:01"/>
    <d v="2025-05-01T19:52:03"/>
    <s v="anonymous"/>
    <m/>
    <m/>
    <x v="2"/>
    <n v="20"/>
    <x v="4"/>
    <x v="2"/>
    <n v="1"/>
    <n v="1"/>
    <n v="1"/>
    <n v="1"/>
    <n v="1"/>
    <n v="1"/>
    <n v="0"/>
    <n v="1"/>
    <x v="2"/>
    <x v="1"/>
    <s v="Marijuana;"/>
    <x v="1"/>
    <s v="Relief from Psychological Issues;Other;"/>
    <s v="It calms me down;It's become a force of habit;I find pleasure in it;"/>
    <x v="4"/>
    <n v="1"/>
  </r>
  <r>
    <n v="27"/>
    <d v="2025-05-04T00:30:04"/>
    <d v="2025-05-04T00:32:57"/>
    <s v="anonymous"/>
    <m/>
    <m/>
    <x v="0"/>
    <n v="19"/>
    <x v="5"/>
    <x v="2"/>
    <n v="2"/>
    <n v="0"/>
    <n v="1"/>
    <n v="0"/>
    <n v="0"/>
    <n v="1"/>
    <n v="0"/>
    <n v="1"/>
    <x v="1"/>
    <x v="4"/>
    <s v="Cigarettes;"/>
    <x v="2"/>
    <s v="Other;"/>
    <s v="I find pleasure in it;"/>
    <x v="1"/>
    <n v="6"/>
  </r>
  <r>
    <n v="28"/>
    <d v="2025-05-04T00:53:34"/>
    <d v="2025-05-04T00:54:52"/>
    <s v="anonymous"/>
    <m/>
    <m/>
    <x v="1"/>
    <n v="20"/>
    <x v="0"/>
    <x v="1"/>
    <n v="2"/>
    <n v="1"/>
    <n v="1"/>
    <n v="0"/>
    <n v="1"/>
    <n v="1"/>
    <n v="0"/>
    <n v="1"/>
    <x v="2"/>
    <x v="1"/>
    <s v="Marijuana;"/>
    <x v="2"/>
    <s v="Other;"/>
    <s v="I find pleasure in it;"/>
    <x v="0"/>
    <n v="1"/>
  </r>
  <r>
    <n v="30"/>
    <d v="2025-05-04T00:30:04"/>
    <d v="2025-05-04T00:32:57"/>
    <s v="anonymous"/>
    <m/>
    <m/>
    <x v="0"/>
    <n v="19"/>
    <x v="5"/>
    <x v="2"/>
    <n v="2"/>
    <n v="0"/>
    <n v="1"/>
    <n v="0"/>
    <n v="1"/>
    <n v="1"/>
    <n v="0"/>
    <n v="1"/>
    <x v="1"/>
    <x v="1"/>
    <s v="Cigarettes;"/>
    <x v="2"/>
    <s v="Other;"/>
    <s v="I find pleasure in it;"/>
    <x v="2"/>
    <n v="1"/>
  </r>
</pivotCacheRecords>
</file>

<file path=xl/pivotCache/pivotCacheRecords6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1">
  <r>
    <x v="0"/>
  </r>
  <r>
    <x v="0"/>
  </r>
  <r>
    <x v="0"/>
  </r>
  <r>
    <x v="0"/>
  </r>
  <r>
    <x v="0"/>
  </r>
  <r>
    <x v="0"/>
  </r>
  <r>
    <x v="1"/>
  </r>
  <r>
    <x v="1"/>
  </r>
  <r>
    <x v="1"/>
  </r>
  <r>
    <x v="0"/>
  </r>
  <r>
    <x v="0"/>
  </r>
</pivotCacheRecords>
</file>

<file path=xl/pivotCache/pivotCacheRecords7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1">
  <r>
    <m/>
    <n v="1"/>
    <n v="23"/>
    <s v="Faculty of Natural and Agricultural Sciences"/>
    <s v="4th year"/>
    <n v="1"/>
    <n v="1"/>
    <n v="1"/>
    <n v="0"/>
    <n v="1"/>
    <n v="1"/>
    <n v="0"/>
    <x v="0"/>
    <s v="Weekly"/>
    <n v="2"/>
    <s v="Hubbly;Vape;Cigarettes;Marijuana;"/>
    <s v="More than 2 years"/>
    <s v="Learnt from family members;Stress ;Other;"/>
    <s v="I find pleasure in it"/>
    <m/>
    <m/>
    <m/>
    <n v="4"/>
    <s v="Marijuana"/>
  </r>
  <r>
    <m/>
    <n v="2"/>
    <n v="21"/>
    <s v="Faculty of Economics and Management Sciences "/>
    <s v="4th year"/>
    <n v="1"/>
    <n v="0"/>
    <n v="1"/>
    <n v="0"/>
    <n v="1"/>
    <n v="1"/>
    <n v="0"/>
    <x v="1"/>
    <m/>
    <m/>
    <m/>
    <m/>
    <m/>
    <m/>
    <s v="It destroys the body;Societal Standards;Health Issues;It's not my cup of tea;It's a financial liability (every cent counts); It smells bad;"/>
    <s v="No"/>
    <s v="No"/>
    <n v="3"/>
    <m/>
  </r>
  <r>
    <m/>
    <n v="2"/>
    <n v="20"/>
    <s v="Faculty of Humanities"/>
    <s v="2nd year"/>
    <n v="1"/>
    <n v="0"/>
    <n v="1"/>
    <n v="0"/>
    <n v="0"/>
    <n v="1"/>
    <n v="0"/>
    <x v="0"/>
    <s v="Weekly"/>
    <n v="1"/>
    <s v="Marijuana;"/>
    <s v="0 - 6 months"/>
    <s v="Stress ;"/>
    <s v="It calms me down;"/>
    <m/>
    <m/>
    <m/>
    <n v="2"/>
    <s v="Marijuana"/>
  </r>
  <r>
    <m/>
    <n v="2"/>
    <n v="22"/>
    <s v="Faculty of Law"/>
    <s v="3rd year "/>
    <n v="1"/>
    <n v="1"/>
    <n v="1"/>
    <n v="1"/>
    <n v="1"/>
    <n v="1"/>
    <n v="0"/>
    <x v="1"/>
    <m/>
    <m/>
    <m/>
    <m/>
    <m/>
    <m/>
    <s v="It's a financial liability (every cent counts); Health Issues;"/>
    <s v="Yes"/>
    <s v="Yes"/>
    <n v="5"/>
    <m/>
  </r>
  <r>
    <m/>
    <n v="1"/>
    <n v="31"/>
    <s v="Faculty of Natural and Agricultural Sciences"/>
    <s v="2nd year"/>
    <n v="1"/>
    <n v="0"/>
    <n v="1"/>
    <n v="0"/>
    <n v="1"/>
    <n v="1"/>
    <n v="1"/>
    <x v="0"/>
    <s v="Daily"/>
    <n v="4"/>
    <s v="Cigarettes;"/>
    <s v="More than 2 years"/>
    <s v="Other;"/>
    <s v="It calms me down;"/>
    <m/>
    <m/>
    <m/>
    <n v="4"/>
    <s v="Marijuana"/>
  </r>
  <r>
    <m/>
    <n v="2"/>
    <n v="21"/>
    <s v="Faculty of Law"/>
    <s v="2nd year"/>
    <n v="2"/>
    <n v="0"/>
    <n v="1"/>
    <n v="0"/>
    <n v="1"/>
    <n v="1"/>
    <n v="0"/>
    <x v="1"/>
    <m/>
    <m/>
    <m/>
    <m/>
    <m/>
    <m/>
    <s v="It's not my cup of tea;"/>
    <s v="Yes"/>
    <s v="No"/>
    <n v="3"/>
    <m/>
  </r>
  <r>
    <m/>
    <n v="2"/>
    <n v="18"/>
    <s v="Faculty of Theology"/>
    <s v="2nd year"/>
    <n v="2"/>
    <n v="1"/>
    <n v="1"/>
    <n v="1"/>
    <n v="1"/>
    <n v="1"/>
    <n v="1"/>
    <x v="1"/>
    <m/>
    <m/>
    <m/>
    <m/>
    <m/>
    <m/>
    <s v="It's not my cup of tea;"/>
    <s v="No"/>
    <s v="No"/>
    <n v="6"/>
    <m/>
  </r>
  <r>
    <m/>
    <n v="1"/>
    <n v="25"/>
    <s v="Faculty of Education"/>
    <s v="3rd year "/>
    <n v="2"/>
    <n v="1"/>
    <n v="1"/>
    <n v="1"/>
    <n v="1"/>
    <n v="1"/>
    <n v="1"/>
    <x v="1"/>
    <m/>
    <m/>
    <m/>
    <m/>
    <m/>
    <m/>
    <s v="It destroys the body;It's a financial liability (every cent counts);Health Issues;"/>
    <s v="Yes"/>
    <s v="No"/>
    <n v="6"/>
    <m/>
  </r>
  <r>
    <m/>
    <n v="1"/>
    <n v="24"/>
    <s v="Faculty of Theology"/>
    <s v="1st year"/>
    <n v="1"/>
    <n v="1"/>
    <n v="1"/>
    <n v="1"/>
    <n v="1"/>
    <n v="1"/>
    <n v="1"/>
    <x v="1"/>
    <m/>
    <m/>
    <m/>
    <m/>
    <m/>
    <m/>
    <s v="It's not my cup of tea; I don't want that lifestyle;"/>
    <s v="Yes"/>
    <s v="Maybe"/>
    <n v="6"/>
    <m/>
  </r>
  <r>
    <m/>
    <n v="1"/>
    <n v="20"/>
    <s v="Faculty of Law"/>
    <s v="3rd year "/>
    <n v="2"/>
    <n v="1"/>
    <n v="1"/>
    <n v="1"/>
    <n v="1"/>
    <n v="1"/>
    <n v="1"/>
    <x v="0"/>
    <s v="Daily"/>
    <n v="4"/>
    <s v="Marijuana;Vape;Cigarettes;"/>
    <s v="More than 2 years"/>
    <s v="Other;"/>
    <s v="It's become a force of habit;I struggle with quitting;It calms me down;I find pleasure in it;Social Influence;"/>
    <m/>
    <m/>
    <m/>
    <n v="6"/>
    <s v="Marijuana"/>
  </r>
  <r>
    <m/>
    <n v="2"/>
    <n v="20"/>
    <s v="Faculty of Economics and Management Sciences "/>
    <s v="2nd year"/>
    <n v="1"/>
    <n v="0"/>
    <n v="1"/>
    <n v="0"/>
    <n v="1"/>
    <n v="1"/>
    <n v="0"/>
    <x v="0"/>
    <s v="Occassionally"/>
    <n v="2"/>
    <s v="Cigarettes;Vape;"/>
    <s v="More than 2 years"/>
    <s v="Relief from Psychological Issues;"/>
    <s v="I find pleasure in it;"/>
    <m/>
    <m/>
    <m/>
    <n v="3"/>
    <s v="Marijuana"/>
  </r>
  <r>
    <m/>
    <n v="1"/>
    <n v="21"/>
    <s v="Faculty of Economics and Management Sciences "/>
    <s v="1st year"/>
    <n v="3"/>
    <n v="0"/>
    <n v="1"/>
    <n v="0"/>
    <n v="0"/>
    <n v="0"/>
    <n v="0"/>
    <x v="0"/>
    <s v="Daily"/>
    <n v="2"/>
    <s v="Marijuana;"/>
    <s v="More than 2 years"/>
    <s v="Other;"/>
    <s v="Problems ;"/>
    <m/>
    <m/>
    <m/>
    <n v="1"/>
    <s v="Marijuana"/>
  </r>
  <r>
    <m/>
    <n v="2"/>
    <n v="19"/>
    <s v="Faculty of Education"/>
    <s v="2nd year"/>
    <n v="1"/>
    <n v="1"/>
    <n v="1"/>
    <n v="0"/>
    <n v="0"/>
    <n v="1"/>
    <n v="1"/>
    <x v="1"/>
    <m/>
    <m/>
    <m/>
    <m/>
    <m/>
    <m/>
    <s v="It's not my cup of tea;"/>
    <s v="Yes"/>
    <s v="Maybe"/>
    <n v="4"/>
    <m/>
  </r>
  <r>
    <m/>
    <n v="1"/>
    <n v="22"/>
    <s v="Faculty of Economics and Management Sciences "/>
    <s v="3rd year "/>
    <n v="1"/>
    <n v="1"/>
    <n v="1"/>
    <n v="1"/>
    <n v="1"/>
    <n v="1"/>
    <n v="0"/>
    <x v="1"/>
    <m/>
    <m/>
    <m/>
    <m/>
    <m/>
    <m/>
    <s v="Societal Standards;Health Issues;It destroys the body;It's not my cup of tea;"/>
    <s v="Yes"/>
    <s v="No"/>
    <n v="5"/>
    <m/>
  </r>
  <r>
    <m/>
    <n v="2"/>
    <n v="22"/>
    <s v="Faculty of Education"/>
    <s v="1st year"/>
    <n v="3"/>
    <n v="1"/>
    <n v="1"/>
    <n v="0"/>
    <n v="0"/>
    <n v="0"/>
    <n v="0"/>
    <x v="1"/>
    <m/>
    <m/>
    <m/>
    <m/>
    <m/>
    <m/>
    <s v="It's not my cup of tea;Health Issues;It destroys the body;Societal Standards;"/>
    <s v="No"/>
    <s v="No"/>
    <n v="2"/>
    <m/>
  </r>
  <r>
    <m/>
    <n v="1"/>
    <n v="23"/>
    <s v="Faculty of Natural and Agricultural Sciences"/>
    <s v="1st year"/>
    <n v="1"/>
    <n v="1"/>
    <n v="1"/>
    <n v="1"/>
    <n v="1"/>
    <n v="1"/>
    <n v="1"/>
    <x v="1"/>
    <m/>
    <m/>
    <m/>
    <m/>
    <m/>
    <m/>
    <s v="It's not my cup of tea;"/>
    <s v="No"/>
    <s v="No"/>
    <n v="6"/>
    <m/>
  </r>
  <r>
    <m/>
    <n v="1"/>
    <n v="23"/>
    <s v="Faculty of Natural and Agricultural Sciences"/>
    <s v="3rd year "/>
    <n v="3"/>
    <n v="0"/>
    <n v="1"/>
    <n v="0"/>
    <n v="1"/>
    <n v="1"/>
    <n v="0"/>
    <x v="1"/>
    <m/>
    <m/>
    <m/>
    <m/>
    <m/>
    <m/>
    <s v="Health Issues;It destroys the body;It's not my cup of tea;"/>
    <s v="Yes"/>
    <s v="Yes"/>
    <n v="3"/>
    <m/>
  </r>
  <r>
    <m/>
    <n v="2"/>
    <n v="19"/>
    <s v="Faculty of Health Sciences "/>
    <s v="2nd year"/>
    <n v="2"/>
    <n v="1"/>
    <n v="1"/>
    <n v="0"/>
    <n v="1"/>
    <n v="1"/>
    <n v="0"/>
    <x v="1"/>
    <m/>
    <m/>
    <m/>
    <m/>
    <m/>
    <m/>
    <s v="It's not my cup of tea;"/>
    <s v="Yes"/>
    <s v="No"/>
    <n v="4"/>
    <m/>
  </r>
  <r>
    <m/>
    <n v="2"/>
    <n v="23"/>
    <s v="Faculty of Education"/>
    <s v="4th year"/>
    <n v="2"/>
    <n v="1"/>
    <n v="1"/>
    <n v="0"/>
    <n v="0"/>
    <n v="1"/>
    <n v="0"/>
    <x v="1"/>
    <m/>
    <m/>
    <m/>
    <m/>
    <m/>
    <m/>
    <s v="I just haven't tried it yet;It's not my cup of tea;Health Issues ;"/>
    <s v="Yes"/>
    <s v="No"/>
    <n v="3"/>
    <m/>
  </r>
  <r>
    <m/>
    <n v="1"/>
    <n v="19"/>
    <s v="Faculty of Law"/>
    <s v="1st year"/>
    <n v="1"/>
    <n v="1"/>
    <n v="1"/>
    <n v="1"/>
    <n v="1"/>
    <n v="1"/>
    <n v="0"/>
    <x v="0"/>
    <s v="Daily"/>
    <n v="3"/>
    <s v="Vape;Cigarettes;"/>
    <s v="7 - 12 months"/>
    <s v="Relief from Psychological Issues;"/>
    <s v="I find pleasure in it;It calms me down;"/>
    <m/>
    <m/>
    <m/>
    <n v="5"/>
    <s v="Cigarettes"/>
  </r>
  <r>
    <m/>
    <n v="3"/>
    <n v="20"/>
    <s v="Faculty of Theology"/>
    <s v="3rd year "/>
    <n v="1"/>
    <n v="1"/>
    <n v="1"/>
    <n v="1"/>
    <n v="1"/>
    <n v="1"/>
    <n v="0"/>
    <x v="0"/>
    <s v="Occassionally"/>
    <n v="0"/>
    <s v="Marijuana;"/>
    <s v="0 - 6 months"/>
    <s v="Relief from Psychological Issues;Other;"/>
    <s v="It calms me down;It's become a force of habit;I find pleasure in it;"/>
    <m/>
    <m/>
    <m/>
    <n v="5"/>
    <s v="Cigarettes"/>
  </r>
  <r>
    <m/>
    <n v="1"/>
    <n v="22"/>
    <s v="Faculty of Health Sciences "/>
    <s v="4th year"/>
    <n v="1"/>
    <n v="1"/>
    <n v="1"/>
    <n v="1"/>
    <n v="1"/>
    <n v="1"/>
    <n v="1"/>
    <x v="1"/>
    <m/>
    <m/>
    <m/>
    <m/>
    <m/>
    <m/>
    <s v="It destroys the body;It's not my cup of tea;"/>
    <s v="No"/>
    <s v="Maybe"/>
    <n v="6"/>
    <m/>
  </r>
  <r>
    <m/>
    <n v="2"/>
    <n v="19"/>
    <s v="Faculty of Health Sciences "/>
    <s v="1st year"/>
    <n v="2"/>
    <n v="1"/>
    <n v="1"/>
    <n v="1"/>
    <n v="1"/>
    <n v="1"/>
    <n v="0"/>
    <x v="1"/>
    <m/>
    <m/>
    <m/>
    <m/>
    <m/>
    <m/>
    <s v="It's not my cup of tea;It destroys the body;"/>
    <s v="Yes"/>
    <s v="No"/>
    <n v="5"/>
    <m/>
  </r>
  <r>
    <m/>
    <n v="1"/>
    <n v="19"/>
    <s v="Faculty of Humanities"/>
    <s v="1st year"/>
    <n v="2"/>
    <n v="0"/>
    <n v="1"/>
    <n v="0"/>
    <n v="1"/>
    <n v="1"/>
    <n v="0"/>
    <x v="1"/>
    <m/>
    <m/>
    <m/>
    <m/>
    <m/>
    <m/>
    <s v="Societal Standards;I just haven't tried it yet; "/>
    <s v="No"/>
    <s v="Yes"/>
    <n v="3"/>
    <m/>
  </r>
  <r>
    <m/>
    <n v="2"/>
    <n v="22"/>
    <s v="Faculty of Health Sciences "/>
    <s v="3rd year "/>
    <n v="1"/>
    <n v="1"/>
    <n v="1"/>
    <n v="1"/>
    <n v="1"/>
    <n v="1"/>
    <n v="0"/>
    <x v="1"/>
    <m/>
    <m/>
    <m/>
    <m/>
    <m/>
    <m/>
    <s v="It destroys the body; It's a financial liability (every cent counts);Health Issues ;It's not my cup of tea;"/>
    <s v="Yes"/>
    <s v="No"/>
    <n v="5"/>
    <m/>
  </r>
  <r>
    <m/>
    <n v="1"/>
    <n v="20"/>
    <s v="Faculty of Humanities"/>
    <s v="1st year"/>
    <n v="3"/>
    <n v="0"/>
    <n v="1"/>
    <n v="0"/>
    <n v="0"/>
    <n v="1"/>
    <n v="0"/>
    <x v="1"/>
    <m/>
    <m/>
    <m/>
    <m/>
    <m/>
    <m/>
    <s v="It's not my cup of tea;"/>
    <s v="No"/>
    <s v="No"/>
    <n v="2"/>
    <m/>
  </r>
  <r>
    <m/>
    <n v="1"/>
    <n v="19"/>
    <s v="Faculty of Health Sciences "/>
    <s v="3rd year "/>
    <n v="2"/>
    <n v="0"/>
    <n v="1"/>
    <n v="0"/>
    <n v="0"/>
    <n v="1"/>
    <n v="0"/>
    <x v="0"/>
    <s v="Daily"/>
    <n v="6"/>
    <s v="Cigarettes;"/>
    <s v="7 - 12 months"/>
    <s v="Other;"/>
    <s v="I find pleasure in it;"/>
    <m/>
    <m/>
    <m/>
    <n v="2"/>
    <s v="Cigarettes"/>
  </r>
  <r>
    <m/>
    <n v="2"/>
    <n v="20"/>
    <s v="Faculty of Natural and Agricultural Sciences"/>
    <s v="2nd year"/>
    <n v="2"/>
    <n v="1"/>
    <n v="1"/>
    <n v="0"/>
    <n v="1"/>
    <n v="1"/>
    <n v="0"/>
    <x v="0"/>
    <s v="Occassionally"/>
    <n v="0"/>
    <s v="Marijuana;"/>
    <s v="7 - 12 months"/>
    <s v="Other;"/>
    <s v="I find pleasure in it;"/>
    <m/>
    <m/>
    <m/>
    <n v="4"/>
    <s v="Marijuana"/>
  </r>
  <r>
    <m/>
    <n v="1"/>
    <n v="20"/>
    <s v="Faculty of Health Sciences "/>
    <s v="2nd year"/>
    <n v="2"/>
    <n v="0"/>
    <n v="1"/>
    <n v="0"/>
    <n v="0"/>
    <n v="1"/>
    <n v="0"/>
    <x v="0"/>
    <s v="Daily"/>
    <n v="1"/>
    <s v="Cigarettes;"/>
    <s v="7 - 12 months"/>
    <s v="Stress ;"/>
    <s v="It's become a force of habit;"/>
    <m/>
    <m/>
    <m/>
    <n v="2"/>
    <s v="Marijuana"/>
  </r>
  <r>
    <m/>
    <n v="2"/>
    <n v="22"/>
    <s v="Faculty of Natural and Agricultural Sciences"/>
    <s v="2nd year"/>
    <n v="1"/>
    <n v="1"/>
    <n v="1"/>
    <n v="0"/>
    <n v="1"/>
    <n v="1"/>
    <n v="1"/>
    <x v="1"/>
    <m/>
    <m/>
    <m/>
    <m/>
    <m/>
    <m/>
    <s v="It's not my cup of tea;It destroys the body"/>
    <s v="Yes"/>
    <s v="Maybe"/>
    <n v="5"/>
    <m/>
  </r>
  <r>
    <m/>
    <n v="1"/>
    <n v="19"/>
    <s v="Faculty of Natural and Agricultural Sciences"/>
    <s v="2nd year"/>
    <n v="1"/>
    <n v="1"/>
    <n v="1"/>
    <n v="0"/>
    <n v="1"/>
    <n v="1"/>
    <n v="0"/>
    <x v="1"/>
    <m/>
    <m/>
    <m/>
    <m/>
    <m/>
    <m/>
    <s v="Health Issues;It's not my cup of tea;It destroys the body"/>
    <s v="No"/>
    <s v="Maybe"/>
    <n v="4"/>
    <m/>
  </r>
</pivotCacheRecords>
</file>

<file path=xl/pivotCache/pivotCacheRecords8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1">
  <r>
    <x v="0"/>
  </r>
  <r>
    <x v="1"/>
  </r>
  <r>
    <x v="2"/>
  </r>
  <r>
    <x v="3"/>
  </r>
  <r>
    <x v="0"/>
  </r>
  <r>
    <x v="3"/>
  </r>
  <r>
    <x v="4"/>
  </r>
  <r>
    <x v="5"/>
  </r>
  <r>
    <x v="4"/>
  </r>
  <r>
    <x v="3"/>
  </r>
  <r>
    <x v="1"/>
  </r>
  <r>
    <x v="1"/>
  </r>
  <r>
    <x v="5"/>
  </r>
  <r>
    <x v="1"/>
  </r>
  <r>
    <x v="5"/>
  </r>
  <r>
    <x v="0"/>
  </r>
  <r>
    <x v="0"/>
  </r>
  <r>
    <x v="6"/>
  </r>
  <r>
    <x v="5"/>
  </r>
  <r>
    <x v="3"/>
  </r>
  <r>
    <x v="4"/>
  </r>
  <r>
    <x v="6"/>
  </r>
  <r>
    <x v="6"/>
  </r>
  <r>
    <x v="2"/>
  </r>
  <r>
    <x v="6"/>
  </r>
  <r>
    <x v="2"/>
  </r>
  <r>
    <x v="6"/>
  </r>
  <r>
    <x v="0"/>
  </r>
  <r>
    <x v="6"/>
  </r>
  <r>
    <x v="0"/>
  </r>
  <r>
    <x v="0"/>
  </r>
</pivotCacheRecords>
</file>

<file path=xl/pivotCache/pivotCacheRecords9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1">
  <r>
    <x v="0"/>
  </r>
  <r>
    <x v="0"/>
  </r>
  <r>
    <x v="1"/>
  </r>
  <r>
    <x v="2"/>
  </r>
  <r>
    <x v="1"/>
  </r>
  <r>
    <x v="1"/>
  </r>
  <r>
    <x v="1"/>
  </r>
  <r>
    <x v="2"/>
  </r>
  <r>
    <x v="3"/>
  </r>
  <r>
    <x v="2"/>
  </r>
  <r>
    <x v="1"/>
  </r>
  <r>
    <x v="3"/>
  </r>
  <r>
    <x v="1"/>
  </r>
  <r>
    <x v="4"/>
  </r>
  <r>
    <x v="3"/>
  </r>
  <r>
    <x v="3"/>
  </r>
  <r>
    <x v="2"/>
  </r>
  <r>
    <x v="1"/>
  </r>
  <r>
    <x v="0"/>
  </r>
  <r>
    <x v="3"/>
  </r>
  <r>
    <x v="2"/>
  </r>
  <r>
    <x v="0"/>
  </r>
  <r>
    <x v="3"/>
  </r>
  <r>
    <x v="3"/>
  </r>
  <r>
    <x v="4"/>
  </r>
  <r>
    <x v="3"/>
  </r>
  <r>
    <x v="2"/>
  </r>
  <r>
    <x v="1"/>
  </r>
  <r>
    <x v="1"/>
  </r>
  <r>
    <x v="1"/>
  </r>
  <r>
    <x v="1"/>
  </r>
</pivotCacheRecords>
</file>

<file path=xl/pivotCache/pivotCacheRecords10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1">
  <r>
    <x v="0"/>
  </r>
  <r>
    <x v="1"/>
  </r>
  <r>
    <x v="0"/>
  </r>
  <r>
    <x v="1"/>
  </r>
  <r>
    <x v="0"/>
  </r>
  <r>
    <x v="1"/>
  </r>
  <r>
    <x v="1"/>
  </r>
  <r>
    <x v="1"/>
  </r>
  <r>
    <x v="1"/>
  </r>
  <r>
    <x v="0"/>
  </r>
  <r>
    <x v="0"/>
  </r>
  <r>
    <x v="0"/>
  </r>
  <r>
    <x v="1"/>
  </r>
  <r>
    <x v="1"/>
  </r>
  <r>
    <x v="1"/>
  </r>
  <r>
    <x v="1"/>
  </r>
  <r>
    <x v="1"/>
  </r>
  <r>
    <x v="1"/>
  </r>
  <r>
    <x v="1"/>
  </r>
  <r>
    <x v="0"/>
  </r>
  <r>
    <x v="0"/>
  </r>
  <r>
    <x v="1"/>
  </r>
  <r>
    <x v="1"/>
  </r>
  <r>
    <x v="1"/>
  </r>
  <r>
    <x v="1"/>
  </r>
  <r>
    <x v="1"/>
  </r>
  <r>
    <x v="0"/>
  </r>
  <r>
    <x v="0"/>
  </r>
  <r>
    <x v="0"/>
  </r>
  <r>
    <x v="1"/>
  </r>
  <r>
    <x v="1"/>
  </r>
</pivotCacheRecords>
</file>

<file path=xl/pivotCache/pivotCacheRecords1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1">
  <r>
    <n v="1"/>
    <n v="1"/>
    <n v="0"/>
    <n v="1"/>
    <n v="1"/>
    <x v="0"/>
    <x v="0"/>
  </r>
  <r>
    <n v="0"/>
    <n v="1"/>
    <n v="0"/>
    <n v="1"/>
    <n v="1"/>
    <x v="0"/>
    <x v="1"/>
  </r>
  <r>
    <n v="0"/>
    <n v="1"/>
    <n v="0"/>
    <n v="0"/>
    <n v="1"/>
    <x v="0"/>
    <x v="1"/>
  </r>
  <r>
    <n v="1"/>
    <n v="1"/>
    <n v="1"/>
    <n v="1"/>
    <n v="1"/>
    <x v="0"/>
    <x v="1"/>
  </r>
  <r>
    <n v="1"/>
    <n v="1"/>
    <n v="1"/>
    <n v="1"/>
    <n v="1"/>
    <x v="1"/>
    <x v="0"/>
  </r>
  <r>
    <n v="0"/>
    <n v="1"/>
    <n v="0"/>
    <n v="1"/>
    <n v="1"/>
    <x v="0"/>
    <x v="1"/>
  </r>
  <r>
    <n v="1"/>
    <n v="1"/>
    <n v="1"/>
    <n v="1"/>
    <n v="1"/>
    <x v="1"/>
    <x v="1"/>
  </r>
  <r>
    <n v="1"/>
    <n v="1"/>
    <n v="1"/>
    <n v="1"/>
    <n v="1"/>
    <x v="1"/>
    <x v="0"/>
  </r>
  <r>
    <n v="1"/>
    <n v="1"/>
    <n v="1"/>
    <n v="1"/>
    <n v="1"/>
    <x v="1"/>
    <x v="0"/>
  </r>
  <r>
    <n v="0"/>
    <n v="1"/>
    <n v="0"/>
    <n v="1"/>
    <n v="1"/>
    <x v="0"/>
    <x v="0"/>
  </r>
  <r>
    <n v="0"/>
    <n v="1"/>
    <n v="0"/>
    <n v="1"/>
    <n v="1"/>
    <x v="0"/>
    <x v="1"/>
  </r>
  <r>
    <n v="0"/>
    <n v="1"/>
    <n v="0"/>
    <n v="0"/>
    <n v="0"/>
    <x v="0"/>
    <x v="0"/>
  </r>
  <r>
    <n v="1"/>
    <n v="1"/>
    <n v="0"/>
    <n v="0"/>
    <n v="1"/>
    <x v="1"/>
    <x v="1"/>
  </r>
  <r>
    <n v="1"/>
    <n v="1"/>
    <n v="1"/>
    <n v="1"/>
    <n v="1"/>
    <x v="0"/>
    <x v="0"/>
  </r>
  <r>
    <n v="1"/>
    <n v="1"/>
    <n v="0"/>
    <n v="0"/>
    <n v="0"/>
    <x v="0"/>
    <x v="1"/>
  </r>
  <r>
    <n v="1"/>
    <n v="1"/>
    <n v="1"/>
    <n v="1"/>
    <n v="1"/>
    <x v="1"/>
    <x v="0"/>
  </r>
  <r>
    <n v="0"/>
    <n v="1"/>
    <n v="0"/>
    <n v="1"/>
    <n v="1"/>
    <x v="0"/>
    <x v="0"/>
  </r>
  <r>
    <n v="1"/>
    <n v="1"/>
    <n v="0"/>
    <n v="1"/>
    <n v="1"/>
    <x v="0"/>
    <x v="1"/>
  </r>
  <r>
    <n v="1"/>
    <n v="1"/>
    <n v="0"/>
    <n v="0"/>
    <n v="1"/>
    <x v="0"/>
    <x v="1"/>
  </r>
  <r>
    <n v="1"/>
    <n v="1"/>
    <n v="1"/>
    <n v="1"/>
    <n v="1"/>
    <x v="0"/>
    <x v="0"/>
  </r>
  <r>
    <n v="1"/>
    <n v="1"/>
    <n v="1"/>
    <n v="1"/>
    <n v="1"/>
    <x v="0"/>
    <x v="2"/>
  </r>
  <r>
    <n v="1"/>
    <n v="1"/>
    <n v="1"/>
    <n v="1"/>
    <n v="1"/>
    <x v="1"/>
    <x v="0"/>
  </r>
  <r>
    <n v="1"/>
    <n v="1"/>
    <n v="1"/>
    <n v="1"/>
    <n v="1"/>
    <x v="0"/>
    <x v="1"/>
  </r>
  <r>
    <n v="0"/>
    <n v="1"/>
    <n v="0"/>
    <n v="1"/>
    <n v="1"/>
    <x v="0"/>
    <x v="0"/>
  </r>
  <r>
    <n v="1"/>
    <n v="1"/>
    <n v="1"/>
    <n v="1"/>
    <n v="1"/>
    <x v="0"/>
    <x v="1"/>
  </r>
  <r>
    <n v="0"/>
    <n v="1"/>
    <n v="0"/>
    <n v="0"/>
    <n v="1"/>
    <x v="0"/>
    <x v="0"/>
  </r>
  <r>
    <n v="0"/>
    <n v="1"/>
    <n v="0"/>
    <n v="0"/>
    <n v="1"/>
    <x v="0"/>
    <x v="0"/>
  </r>
  <r>
    <n v="1"/>
    <n v="1"/>
    <n v="0"/>
    <n v="1"/>
    <n v="1"/>
    <x v="0"/>
    <x v="1"/>
  </r>
  <r>
    <n v="0"/>
    <n v="1"/>
    <n v="0"/>
    <n v="1"/>
    <n v="1"/>
    <x v="0"/>
    <x v="0"/>
  </r>
  <r>
    <n v="1"/>
    <n v="1"/>
    <n v="0"/>
    <n v="1"/>
    <n v="1"/>
    <x v="1"/>
    <x v="1"/>
  </r>
  <r>
    <n v="1"/>
    <n v="1"/>
    <n v="0"/>
    <n v="1"/>
    <n v="1"/>
    <x v="0"/>
    <x v="0"/>
  </r>
</pivotCacheRecords>
</file>

<file path=xl/pivotCache/pivotCacheRecords1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0">
  <r>
    <x v="0"/>
  </r>
  <r>
    <x v="0"/>
  </r>
  <r>
    <x v="0"/>
  </r>
  <r>
    <x v="1"/>
  </r>
  <r>
    <x v="0"/>
  </r>
  <r>
    <x v="0"/>
  </r>
  <r>
    <x v="1"/>
  </r>
  <r>
    <x v="1"/>
  </r>
  <r>
    <x v="1"/>
  </r>
  <r>
    <x v="0"/>
  </r>
  <r>
    <x v="1"/>
  </r>
  <r>
    <x v="0"/>
  </r>
  <r>
    <x v="1"/>
  </r>
  <r>
    <x v="0"/>
  </r>
  <r>
    <x v="1"/>
  </r>
  <r>
    <x v="1"/>
  </r>
  <r>
    <x v="0"/>
  </r>
  <r>
    <x v="0"/>
  </r>
  <r>
    <x v="1"/>
  </r>
  <r>
    <x v="2"/>
  </r>
  <r>
    <x v="1"/>
  </r>
  <r>
    <x v="0"/>
  </r>
  <r>
    <x v="1"/>
  </r>
  <r>
    <x v="0"/>
  </r>
  <r>
    <x v="1"/>
  </r>
  <r>
    <x v="1"/>
  </r>
  <r>
    <x v="0"/>
  </r>
  <r>
    <x v="1"/>
  </r>
  <r>
    <x v="0"/>
  </r>
  <r>
    <x v="1"/>
  </r>
</pivotCacheRecords>
</file>

<file path=xl/pivotCache/pivotCacheRecords1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1">
  <r>
    <n v="3"/>
    <d v="2025-04-30T22:53:22"/>
    <d v="2025-04-30T22:55:23"/>
    <x v="0"/>
    <n v="23"/>
    <x v="0"/>
    <x v="0"/>
    <x v="0"/>
    <s v="Yes"/>
    <s v="Yes"/>
    <s v="No"/>
    <s v="Yes"/>
    <s v="Yes"/>
    <s v="No"/>
    <x v="0"/>
    <s v="Weekly"/>
    <n v="2"/>
    <s v="Hubbly;Vape;Cigarettes;Marijuana;"/>
    <s v="More than 2 years"/>
    <s v="Learnt from family members;Stress ;Other;"/>
    <s v="I find pleasure in it"/>
    <m/>
    <m/>
    <m/>
  </r>
  <r>
    <n v="5"/>
    <d v="2025-04-30T22:59:04"/>
    <d v="2025-04-30T23:00:20"/>
    <x v="1"/>
    <n v="21"/>
    <x v="1"/>
    <x v="0"/>
    <x v="0"/>
    <s v="No"/>
    <s v="Yes"/>
    <s v="No"/>
    <s v="Yes"/>
    <s v="Yes"/>
    <s v="No"/>
    <x v="1"/>
    <m/>
    <m/>
    <m/>
    <m/>
    <m/>
    <m/>
    <s v="It destroys the body;Societal Standards;Health Issues;It's not my cup of tea;It's a financial liability (every cent counts); It smells bad;"/>
    <s v="No"/>
    <s v="No"/>
  </r>
  <r>
    <n v="6"/>
    <d v="2025-04-30T23:17:39"/>
    <d v="2025-04-30T23:19:01"/>
    <x v="1"/>
    <n v="20"/>
    <x v="2"/>
    <x v="1"/>
    <x v="0"/>
    <s v="No"/>
    <s v="Yes"/>
    <s v="No"/>
    <s v="No"/>
    <s v="Yes"/>
    <s v="No"/>
    <x v="0"/>
    <s v="Weekly"/>
    <n v="1"/>
    <s v="Marijuana;"/>
    <s v="0 - 6 months"/>
    <s v="Stress ;"/>
    <s v="It calms me down;"/>
    <m/>
    <m/>
    <m/>
  </r>
  <r>
    <n v="7"/>
    <d v="2025-04-30T23:39:23"/>
    <d v="2025-04-30T23:44:35"/>
    <x v="1"/>
    <n v="22"/>
    <x v="3"/>
    <x v="2"/>
    <x v="0"/>
    <s v="Yes"/>
    <s v="Yes"/>
    <s v="Yes"/>
    <s v="Yes"/>
    <s v="Yes"/>
    <s v="No"/>
    <x v="1"/>
    <m/>
    <m/>
    <m/>
    <m/>
    <m/>
    <m/>
    <s v="It's a financial liability (every cent counts); Health Issues;"/>
    <s v="Yes"/>
    <s v="Yes"/>
  </r>
  <r>
    <n v="8"/>
    <d v="2025-05-01T03:03:27"/>
    <d v="2025-05-01T03:07:41"/>
    <x v="0"/>
    <n v="31"/>
    <x v="0"/>
    <x v="1"/>
    <x v="0"/>
    <s v="Yes"/>
    <s v="Yes"/>
    <s v="Yes"/>
    <s v="Yes"/>
    <s v="Yes"/>
    <s v="Yes"/>
    <x v="0"/>
    <s v="Daily"/>
    <n v="4"/>
    <s v="Cigarettes;"/>
    <s v="More than 2 years"/>
    <s v="Other;"/>
    <s v="It calms me down;"/>
    <m/>
    <m/>
    <m/>
  </r>
  <r>
    <n v="9"/>
    <d v="2025-05-01T05:58:31"/>
    <d v="2025-05-01T05:59:43"/>
    <x v="1"/>
    <n v="21"/>
    <x v="3"/>
    <x v="1"/>
    <x v="1"/>
    <s v="No"/>
    <s v="Yes"/>
    <s v="No"/>
    <s v="Yes"/>
    <s v="Yes"/>
    <s v="No"/>
    <x v="1"/>
    <m/>
    <m/>
    <m/>
    <m/>
    <m/>
    <m/>
    <s v="It's not my cup of tea;"/>
    <s v="Yes"/>
    <s v="No"/>
  </r>
  <r>
    <n v="10"/>
    <d v="2025-05-01T06:05:46"/>
    <d v="2025-05-01T06:06:52"/>
    <x v="1"/>
    <n v="18"/>
    <x v="4"/>
    <x v="1"/>
    <x v="1"/>
    <s v="Yes"/>
    <s v="Yes"/>
    <s v="Yes"/>
    <s v="Yes"/>
    <s v="Yes"/>
    <s v="Yes"/>
    <x v="1"/>
    <m/>
    <m/>
    <m/>
    <m/>
    <m/>
    <m/>
    <s v="It's not my cup of tea;"/>
    <s v="No"/>
    <s v="No"/>
  </r>
  <r>
    <n v="11"/>
    <d v="2025-05-01T08:27:10"/>
    <d v="2025-05-01T08:28:41"/>
    <x v="0"/>
    <n v="25"/>
    <x v="5"/>
    <x v="2"/>
    <x v="1"/>
    <s v="Yes"/>
    <s v="Yes"/>
    <s v="Yes"/>
    <s v="Yes"/>
    <s v="Yes"/>
    <s v="Yes"/>
    <x v="1"/>
    <m/>
    <m/>
    <m/>
    <m/>
    <m/>
    <m/>
    <s v="It destroys the body;It's a financial liability (every cent counts);Health Issues;"/>
    <s v="Yes"/>
    <s v="No"/>
  </r>
  <r>
    <n v="12"/>
    <d v="2025-05-01T08:41:43"/>
    <d v="2025-05-01T08:50:00"/>
    <x v="0"/>
    <n v="24"/>
    <x v="4"/>
    <x v="3"/>
    <x v="0"/>
    <s v="Yes"/>
    <s v="Yes"/>
    <s v="Yes"/>
    <s v="Yes"/>
    <s v="Yes"/>
    <s v="Yes"/>
    <x v="1"/>
    <m/>
    <m/>
    <m/>
    <m/>
    <m/>
    <m/>
    <s v="It's not my cup of tea; I don't want that lifestyle;"/>
    <s v="Yes"/>
    <s v="Maybe"/>
  </r>
  <r>
    <n v="13"/>
    <d v="2025-05-01T09:13:15"/>
    <d v="2025-05-01T09:14:57"/>
    <x v="0"/>
    <n v="20"/>
    <x v="3"/>
    <x v="2"/>
    <x v="1"/>
    <s v="No"/>
    <s v="Yes"/>
    <s v="No"/>
    <s v="Yes"/>
    <s v="Yes"/>
    <s v="No"/>
    <x v="0"/>
    <s v="Daily"/>
    <n v="4"/>
    <s v="Marijuana;Vape;Cigarettes;"/>
    <s v="More than 2 years"/>
    <s v="Other;"/>
    <s v="It's become a force of habit;I struggle with quitting;It calms me down;I find pleasure in it;Social Influence;"/>
    <m/>
    <m/>
    <m/>
  </r>
  <r>
    <n v="14"/>
    <d v="2025-05-01T13:19:39"/>
    <d v="2025-05-01T13:22:28"/>
    <x v="1"/>
    <n v="20"/>
    <x v="1"/>
    <x v="1"/>
    <x v="0"/>
    <s v="No"/>
    <s v="Yes"/>
    <s v="No"/>
    <s v="Yes"/>
    <s v="Yes"/>
    <s v="No"/>
    <x v="0"/>
    <s v="Occassionally"/>
    <n v="2"/>
    <s v="Cigarettes;Vape;"/>
    <s v="More than 2 years"/>
    <s v="Relief from Psychological Issues;"/>
    <s v="I find pleasure in it;"/>
    <m/>
    <m/>
    <m/>
  </r>
  <r>
    <n v="15"/>
    <d v="2025-05-01T13:24:57"/>
    <d v="2025-05-01T13:28:06"/>
    <x v="0"/>
    <n v="21"/>
    <x v="1"/>
    <x v="3"/>
    <x v="2"/>
    <s v="No"/>
    <s v="Yes"/>
    <s v="No"/>
    <s v="No"/>
    <s v="No"/>
    <s v="No"/>
    <x v="0"/>
    <s v="Daily"/>
    <n v="2"/>
    <s v="Marijuana;"/>
    <s v="More than 2 years"/>
    <s v="Other;"/>
    <s v="Problems ;"/>
    <m/>
    <m/>
    <m/>
  </r>
  <r>
    <n v="16"/>
    <d v="2025-05-01T13:57:02"/>
    <d v="2025-05-01T13:58:23"/>
    <x v="1"/>
    <n v="19"/>
    <x v="5"/>
    <x v="1"/>
    <x v="0"/>
    <s v="Yes"/>
    <s v="Yes"/>
    <s v="No"/>
    <s v="No"/>
    <s v="Yes"/>
    <s v="Yes"/>
    <x v="1"/>
    <m/>
    <m/>
    <m/>
    <m/>
    <m/>
    <m/>
    <s v="It's not my cup of tea;"/>
    <s v="Yes"/>
    <s v="Maybe"/>
  </r>
  <r>
    <n v="17"/>
    <d v="2025-05-01T14:18:56"/>
    <d v="2025-05-01T14:20:20"/>
    <x v="0"/>
    <n v="22"/>
    <x v="1"/>
    <x v="2"/>
    <x v="0"/>
    <s v="Yes"/>
    <s v="Yes"/>
    <s v="Yes"/>
    <s v="Yes"/>
    <s v="Yes"/>
    <s v="No"/>
    <x v="1"/>
    <m/>
    <m/>
    <m/>
    <m/>
    <m/>
    <m/>
    <s v="Societal Standards;Health Issues;It destroys the body;It's not my cup of tea;"/>
    <s v="Yes"/>
    <s v="No"/>
  </r>
  <r>
    <n v="18"/>
    <d v="2025-05-01T14:19:03"/>
    <d v="2025-05-01T14:20:41"/>
    <x v="1"/>
    <n v="22"/>
    <x v="5"/>
    <x v="3"/>
    <x v="2"/>
    <s v="Yes"/>
    <s v="Yes"/>
    <s v="No"/>
    <s v="No"/>
    <s v="No"/>
    <s v="No"/>
    <x v="1"/>
    <m/>
    <m/>
    <m/>
    <m/>
    <m/>
    <m/>
    <s v="It's not my cup of tea;Health Issues;It destroys the body;Societal Standards;"/>
    <s v="No"/>
    <s v="No"/>
  </r>
  <r>
    <n v="19"/>
    <d v="2025-05-01T14:32:12"/>
    <d v="2025-05-01T14:33:18"/>
    <x v="0"/>
    <n v="23"/>
    <x v="0"/>
    <x v="3"/>
    <x v="0"/>
    <s v="Yes"/>
    <s v="Yes"/>
    <s v="Yes"/>
    <s v="Yes"/>
    <s v="Yes"/>
    <s v="Yes"/>
    <x v="1"/>
    <m/>
    <m/>
    <m/>
    <m/>
    <m/>
    <m/>
    <s v="It's not my cup of tea;"/>
    <s v="No"/>
    <s v="No"/>
  </r>
  <r>
    <n v="20"/>
    <d v="2025-05-01T15:03:58"/>
    <d v="2025-05-01T15:05:28"/>
    <x v="0"/>
    <n v="23"/>
    <x v="0"/>
    <x v="2"/>
    <x v="2"/>
    <s v="No"/>
    <s v="Yes"/>
    <s v="No"/>
    <s v="Yes"/>
    <s v="Yes"/>
    <s v="No"/>
    <x v="1"/>
    <m/>
    <m/>
    <m/>
    <m/>
    <m/>
    <m/>
    <s v="Health Issues;It destroys the body;It's not my cup of tea;"/>
    <s v="Yes"/>
    <s v="Yes"/>
  </r>
  <r>
    <n v="21"/>
    <d v="2025-05-01T15:56:11"/>
    <d v="2025-05-01T15:59:05"/>
    <x v="1"/>
    <n v="19"/>
    <x v="6"/>
    <x v="1"/>
    <x v="1"/>
    <s v="Yes"/>
    <s v="Yes"/>
    <s v="No"/>
    <s v="Yes"/>
    <s v="Yes"/>
    <s v="No"/>
    <x v="1"/>
    <m/>
    <m/>
    <m/>
    <m/>
    <m/>
    <m/>
    <s v="It's not my cup of tea;"/>
    <s v="Yes"/>
    <s v="No"/>
  </r>
  <r>
    <n v="22"/>
    <d v="2025-05-01T18:11:56"/>
    <d v="2025-05-01T18:13:32"/>
    <x v="1"/>
    <n v="23"/>
    <x v="5"/>
    <x v="0"/>
    <x v="1"/>
    <s v="Yes"/>
    <s v="Yes"/>
    <s v="No"/>
    <s v="No"/>
    <s v="Yes"/>
    <s v="No"/>
    <x v="1"/>
    <m/>
    <m/>
    <m/>
    <m/>
    <m/>
    <m/>
    <s v="I just haven't tried it yet;It's not my cup of tea;Health Issues ;"/>
    <s v="Yes"/>
    <s v="No"/>
  </r>
  <r>
    <n v="23"/>
    <d v="2025-05-01T19:05:44"/>
    <d v="2025-05-01T19:07:14"/>
    <x v="0"/>
    <n v="19"/>
    <x v="3"/>
    <x v="3"/>
    <x v="0"/>
    <s v="Yes"/>
    <s v="Yes"/>
    <s v="Yes"/>
    <s v="Yes"/>
    <s v="Yes"/>
    <s v="No"/>
    <x v="0"/>
    <s v="Daily"/>
    <n v="3"/>
    <s v="Vape;Cigarettes;"/>
    <s v="7 - 12 months"/>
    <s v="Relief from Psychological Issues;"/>
    <s v="I find pleasure in it;It calms me down;"/>
    <m/>
    <m/>
    <m/>
  </r>
  <r>
    <n v="24"/>
    <d v="2025-05-01T19:51:01"/>
    <d v="2025-05-01T19:52:03"/>
    <x v="2"/>
    <n v="20"/>
    <x v="4"/>
    <x v="2"/>
    <x v="0"/>
    <s v="Yes"/>
    <s v="Yes"/>
    <s v="Yes"/>
    <s v="Yes"/>
    <s v="Yes"/>
    <s v="No"/>
    <x v="0"/>
    <s v="Occassionally"/>
    <n v="0"/>
    <s v="Marijuana;"/>
    <s v="0 - 6 months"/>
    <s v="Relief from Psychological Issues;Other;"/>
    <s v="It calms me down;It's become a force of habit;I find pleasure in it;"/>
    <m/>
    <m/>
    <m/>
  </r>
  <r>
    <n v="25"/>
    <d v="2025-05-02T01:47:27"/>
    <d v="2025-05-02T01:50:01"/>
    <x v="0"/>
    <n v="22"/>
    <x v="6"/>
    <x v="0"/>
    <x v="0"/>
    <s v="Yes"/>
    <s v="Yes"/>
    <s v="Yes"/>
    <s v="Yes"/>
    <s v="Yes"/>
    <s v="Yes"/>
    <x v="1"/>
    <m/>
    <m/>
    <m/>
    <m/>
    <m/>
    <m/>
    <s v="It destroys the body;It's not my cup of tea;"/>
    <s v="No"/>
    <s v="Maybe"/>
  </r>
  <r>
    <n v="26"/>
    <d v="2025-05-02T18:58:49"/>
    <d v="2025-05-02T19:02:47"/>
    <x v="1"/>
    <n v="19"/>
    <x v="6"/>
    <x v="3"/>
    <x v="1"/>
    <s v="Yes"/>
    <s v="Yes"/>
    <s v="Yes"/>
    <s v="Yes"/>
    <s v="Yes"/>
    <s v="No"/>
    <x v="1"/>
    <m/>
    <m/>
    <m/>
    <m/>
    <m/>
    <m/>
    <s v="It's not my cup of tea;It destroys the body;"/>
    <s v="Yes"/>
    <s v="No"/>
  </r>
  <r>
    <n v="27"/>
    <d v="2025-05-03T03:47:22"/>
    <d v="2025-05-03T03:49:20"/>
    <x v="0"/>
    <n v="19"/>
    <x v="2"/>
    <x v="3"/>
    <x v="1"/>
    <s v="No"/>
    <s v="Yes"/>
    <s v="No"/>
    <s v="Yes"/>
    <s v="Yes"/>
    <s v="No"/>
    <x v="1"/>
    <m/>
    <m/>
    <m/>
    <m/>
    <m/>
    <m/>
    <s v="Societal Standards;I just haven't tried it yet; "/>
    <s v="No"/>
    <s v="Yes"/>
  </r>
  <r>
    <n v="28"/>
    <d v="2025-05-03T03:52:10"/>
    <d v="2025-05-03T03:58:16"/>
    <x v="1"/>
    <n v="22"/>
    <x v="6"/>
    <x v="2"/>
    <x v="0"/>
    <s v="Yes"/>
    <s v="Yes"/>
    <s v="Yes"/>
    <s v="Yes"/>
    <s v="Yes"/>
    <s v="No"/>
    <x v="1"/>
    <m/>
    <m/>
    <m/>
    <m/>
    <m/>
    <m/>
    <s v="It destroys the body; It's a financial liability (every cent counts);Health Issues ;It's not my cup of tea;"/>
    <s v="Yes"/>
    <s v="No"/>
  </r>
  <r>
    <n v="29"/>
    <d v="2025-05-03T12:43:55"/>
    <d v="2025-05-03T12:45:05"/>
    <x v="0"/>
    <n v="20"/>
    <x v="2"/>
    <x v="2"/>
    <x v="2"/>
    <s v="No"/>
    <s v="Yes"/>
    <s v="No"/>
    <s v="No"/>
    <s v="Yes"/>
    <s v="No"/>
    <x v="1"/>
    <m/>
    <m/>
    <m/>
    <m/>
    <m/>
    <m/>
    <s v="It's not my cup of tea;"/>
    <s v="No"/>
    <s v="No"/>
  </r>
  <r>
    <n v="30"/>
    <d v="2025-05-04T00:30:04"/>
    <d v="2025-05-04T00:32:57"/>
    <x v="0"/>
    <n v="19"/>
    <x v="6"/>
    <x v="2"/>
    <x v="1"/>
    <s v="No"/>
    <s v="Yes"/>
    <s v="No"/>
    <s v="No"/>
    <s v="Yes"/>
    <s v="No"/>
    <x v="0"/>
    <s v="Daily"/>
    <n v="6"/>
    <s v="Cigarettes;"/>
    <s v="7 - 12 months"/>
    <s v="Other;"/>
    <s v="I find pleasure in it;"/>
    <m/>
    <m/>
    <m/>
  </r>
  <r>
    <n v="31"/>
    <d v="2025-05-04T00:53:34"/>
    <d v="2025-05-04T00:54:52"/>
    <x v="1"/>
    <n v="20"/>
    <x v="0"/>
    <x v="1"/>
    <x v="1"/>
    <s v="Yes"/>
    <s v="Yes"/>
    <s v="No"/>
    <s v="Yes"/>
    <s v="Yes"/>
    <s v="No"/>
    <x v="0"/>
    <s v="Occassionally"/>
    <m/>
    <s v="Marijuana;"/>
    <s v="7 - 12 months"/>
    <s v="Other;"/>
    <s v="I find pleasure in it;"/>
    <m/>
    <m/>
    <m/>
  </r>
  <r>
    <n v="32"/>
    <d v="2025-05-04T10:54:08"/>
    <d v="2025-05-04T10:56:20"/>
    <x v="0"/>
    <n v="20"/>
    <x v="1"/>
    <x v="1"/>
    <x v="1"/>
    <s v="No"/>
    <s v="Yes"/>
    <s v="No"/>
    <s v="Yes"/>
    <s v="Yes"/>
    <s v="No"/>
    <x v="0"/>
    <s v="Monthly"/>
    <n v="1"/>
    <s v="Vape;Marijuana;"/>
    <s v="More than 2 years"/>
    <s v="Stress ;"/>
    <s v="It's become a force of habit;"/>
    <m/>
    <m/>
    <m/>
  </r>
  <r>
    <n v="33"/>
    <d v="2025-05-04T17:33:58"/>
    <d v="2025-05-04T17:35:57"/>
    <x v="1"/>
    <n v="22"/>
    <x v="0"/>
    <x v="1"/>
    <x v="0"/>
    <s v="Yes"/>
    <s v="Yes"/>
    <s v="No"/>
    <s v="Yes"/>
    <s v="Yes"/>
    <s v="Yes"/>
    <x v="1"/>
    <m/>
    <m/>
    <m/>
    <m/>
    <m/>
    <m/>
    <s v="It's not my cup of tea;It destroys the body"/>
    <s v="Yes"/>
    <s v="Maybe"/>
  </r>
  <r>
    <n v="34"/>
    <d v="2025-05-04T18:24:21"/>
    <d v="2025-05-04T18:25:35"/>
    <x v="0"/>
    <n v="19"/>
    <x v="0"/>
    <x v="1"/>
    <x v="0"/>
    <s v="Yes"/>
    <s v="Yes"/>
    <s v="No"/>
    <s v="Yes"/>
    <s v="Yes"/>
    <s v="No"/>
    <x v="1"/>
    <m/>
    <m/>
    <m/>
    <m/>
    <m/>
    <m/>
    <s v="Health Issues;It's not my cup of tea;It destroys the body"/>
    <s v="No"/>
    <s v="Maybe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9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8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0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7.xml"/></Relationships>
</file>

<file path=xl/pivotTables/_rels/pivotTable1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1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1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1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1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3.xml"/></Relationships>
</file>

<file path=xl/pivotTables/_rels/pivotTable1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1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D283FDC-1292-624B-B030-010FF15416B9}" name="PivotTable12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E55:E56" firstHeaderRow="1" firstDataRow="1" firstDataCol="0"/>
  <pivotFields count="30">
    <pivotField showAll="0"/>
    <pivotField numFmtId="164" showAll="0"/>
    <pivotField numFmtId="16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 defaultSubtotal="0"/>
    <pivotField showAll="0" defaultSubtotal="0"/>
  </pivotFields>
  <rowItems count="1">
    <i/>
  </rowItems>
  <colItems count="1">
    <i/>
  </colItems>
  <dataFields count="1">
    <dataField name="Count of Months" fld="28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F3C7F12-3C9D-E249-848E-F3C7E3BFEFF9}" name="PivotTable9" cacheId="1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E39:F43" firstHeaderRow="1" firstDataRow="1" firstDataCol="1"/>
  <pivotFields count="1">
    <pivotField axis="axisRow" dataField="1" showAll="0">
      <items count="4">
        <item x="1"/>
        <item x="0"/>
        <item x="2"/>
        <item t="default"/>
      </items>
    </pivotField>
  </pivotFields>
  <rowFields count="1">
    <field x="0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ount of 1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8F201EA-82D5-8546-983E-AD71404828C3}" name="PivotTable5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H37:K46" firstHeaderRow="1" firstDataRow="2" firstDataCol="1"/>
  <pivotFields count="30">
    <pivotField showAll="0"/>
    <pivotField numFmtId="164" showAll="0"/>
    <pivotField numFmtId="164" showAll="0"/>
    <pivotField showAll="0"/>
    <pivotField showAll="0"/>
    <pivotField showAll="0"/>
    <pivotField showAll="0"/>
    <pivotField showAll="0"/>
    <pivotField axis="axisRow" showAll="0">
      <items count="8">
        <item x="1"/>
        <item x="5"/>
        <item x="6"/>
        <item x="2"/>
        <item x="3"/>
        <item x="0"/>
        <item x="4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axis="axisCol" dataField="1" showAll="0">
      <items count="3"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 defaultSubtotal="0"/>
    <pivotField showAll="0" defaultSubtotal="0"/>
  </pivotFields>
  <rowFields count="1">
    <field x="8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17"/>
  </colFields>
  <colItems count="3">
    <i>
      <x/>
    </i>
    <i>
      <x v="1"/>
    </i>
    <i t="grand">
      <x/>
    </i>
  </colItems>
  <dataFields count="1">
    <dataField name="Count of Do you smoke?" fld="17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1AF47CC-D2E8-4446-9017-21BF487CA15F}" name="PivotTable3" cacheId="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26:B32" firstHeaderRow="1" firstDataRow="1" firstDataCol="1"/>
  <pivotFields count="1">
    <pivotField axis="axisRow" dataField="1" showAll="0">
      <items count="6">
        <item x="3"/>
        <item x="1"/>
        <item x="2"/>
        <item x="4"/>
        <item x="0"/>
        <item t="default"/>
      </items>
    </pivotField>
  </pivotFields>
  <rowFields count="1"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Count of What year of study are you in?" fld="0" subtotal="count" showDataAs="percentOfTotal" baseField="0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62009CA-ED94-4A40-BF7B-C890027AA255}" name="PivotTable2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A14:B22" firstHeaderRow="1" firstDataRow="1" firstDataCol="1"/>
  <pivotFields count="1">
    <pivotField axis="axisRow" dataField="1" showAll="0">
      <items count="8">
        <item x="1"/>
        <item x="5"/>
        <item x="6"/>
        <item x="2"/>
        <item x="3"/>
        <item x="0"/>
        <item x="4"/>
        <item t="default"/>
      </items>
    </pivotField>
  </pivotFields>
  <rowFields count="1">
    <field x="0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Count of Faculty" fld="0" subtotal="count" showDataAs="percentOfTotal" baseField="0" baseItem="0" numFmtId="10"/>
  </dataFields>
  <chartFormats count="8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0" format="4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0" format="5">
      <pivotArea type="data" outline="0" fieldPosition="0">
        <references count="2">
          <reference field="4294967294" count="1" selected="0">
            <x v="0"/>
          </reference>
          <reference field="0" count="1" selected="0">
            <x v="4"/>
          </reference>
        </references>
      </pivotArea>
    </chartFormat>
    <chartFormat chart="0" format="6">
      <pivotArea type="data" outline="0" fieldPosition="0">
        <references count="2">
          <reference field="4294967294" count="1" selected="0">
            <x v="0"/>
          </reference>
          <reference field="0" count="1" selected="0">
            <x v="5"/>
          </reference>
        </references>
      </pivotArea>
    </chartFormat>
    <chartFormat chart="0" format="7">
      <pivotArea type="data" outline="0" fieldPosition="0">
        <references count="2">
          <reference field="4294967294" count="1" selected="0">
            <x v="0"/>
          </reference>
          <reference field="0" count="1" selected="0">
            <x v="6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1604323-4745-A549-97DF-51B5113DA817}" name="PivotTable1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A1:B5" firstHeaderRow="1" firstDataRow="1" firstDataCol="1"/>
  <pivotFields count="30">
    <pivotField showAll="0"/>
    <pivotField numFmtId="164" showAll="0"/>
    <pivotField numFmtId="164" showAll="0"/>
    <pivotField showAll="0"/>
    <pivotField showAll="0"/>
    <pivotField showAll="0"/>
    <pivotField showAll="0"/>
    <pivotField axis="axisRow" dataField="1" showAll="0">
      <items count="6">
        <item x="0"/>
        <item x="1"/>
        <item x="2"/>
        <item x="3"/>
        <item x="4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 defaultSubtotal="0"/>
    <pivotField showAll="0" defaultSubtotal="0"/>
  </pivotFields>
  <rowFields count="1">
    <field x="7"/>
  </rowFields>
  <rowItems count="4">
    <i>
      <x v="1"/>
    </i>
    <i>
      <x v="2"/>
    </i>
    <i>
      <x v="3"/>
    </i>
    <i t="grand">
      <x/>
    </i>
  </rowItems>
  <colItems count="1">
    <i/>
  </colItems>
  <dataFields count="1">
    <dataField name="Count of How old are you?" fld="7" subtotal="count" showDataAs="percentOfTotal" baseField="0" baseItem="0" numFmtId="10"/>
  </dataFields>
  <chartFormats count="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1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7" count="1" selected="0">
            <x v="2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7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A829146-C0B6-F74B-BD66-418B54AD3000}" name="PivotTable7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68:B72" firstHeaderRow="1" firstDataRow="1" firstDataCol="1"/>
  <pivotFields count="30">
    <pivotField showAll="0"/>
    <pivotField numFmtId="164" showAll="0"/>
    <pivotField numFmtId="164" showAll="0"/>
    <pivotField showAll="0"/>
    <pivotField showAll="0"/>
    <pivotField showAll="0"/>
    <pivotField axis="axisRow" dataField="1" showAll="0">
      <items count="4">
        <item n="Male" x="0"/>
        <item n="Female" x="1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 defaultSubtotal="0"/>
    <pivotField showAll="0" defaultSubtotal="0"/>
  </pivotFields>
  <rowFields count="1">
    <field x="6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ount of What is your gender?" fld="6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A6A6508-2F88-0E4F-A412-D9B9C171D8AE}" name="PivotTable6" cacheId="1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multipleFieldFilters="0" chartFormat="14">
  <location ref="A44:G48" firstHeaderRow="0" firstDataRow="1" firstDataCol="1"/>
  <pivotFields count="7">
    <pivotField dataField="1" showAll="0"/>
    <pivotField dataField="1" showAll="0"/>
    <pivotField dataField="1" showAll="0"/>
    <pivotField dataField="1" showAll="0"/>
    <pivotField dataField="1" showAll="0"/>
    <pivotField dataField="1" showAll="0">
      <items count="3">
        <item x="0"/>
        <item x="1"/>
        <item t="default"/>
      </items>
    </pivotField>
    <pivotField axis="axisRow" showAll="0">
      <items count="4">
        <item x="1"/>
        <item x="0"/>
        <item x="2"/>
        <item t="default"/>
      </items>
    </pivotField>
  </pivotFields>
  <rowFields count="1">
    <field x="6"/>
  </rowFields>
  <rowItems count="4">
    <i>
      <x/>
    </i>
    <i>
      <x v="1"/>
    </i>
    <i>
      <x v="2"/>
    </i>
    <i t="grand">
      <x/>
    </i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dataFields count="6">
    <dataField name="Sum of Fertility Issues" fld="0" baseField="0" baseItem="0"/>
    <dataField name="Sum of Lung, Mouth and Throat Cancer" fld="1" baseField="0" baseItem="0"/>
    <dataField name="Sum of Erectile Dysfunction" fld="2" baseField="0" baseItem="0"/>
    <dataField name="Sum of Cardiovascular Disease" fld="3" baseField="0" baseItem="0"/>
    <dataField name="Sum of Respiratory Illnesses " fld="4" baseField="0" baseItem="0"/>
    <dataField name="Sum of Type 2 Diabetes" fld="5" baseField="0" baseItem="0"/>
  </dataFields>
  <chartFormats count="6">
    <chartFormat chart="13" format="1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3" format="19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3" format="20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13" format="21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13" format="22" series="1">
      <pivotArea type="data" outline="0" fieldPosition="0">
        <references count="1">
          <reference field="4294967294" count="1" selected="0">
            <x v="4"/>
          </reference>
        </references>
      </pivotArea>
    </chartFormat>
    <chartFormat chart="13" format="23" series="1">
      <pivotArea type="data" outline="0" fieldPosition="0">
        <references count="1">
          <reference field="4294967294" count="1" selected="0">
            <x v="5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4AD3B7D-81E0-9345-9E98-F70FD846F679}" name="PivotTable4" cacheId="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4:B37" firstHeaderRow="1" firstDataRow="1" firstDataCol="1"/>
  <pivotFields count="1">
    <pivotField axis="axisRow" dataField="1" showAll="0">
      <items count="3">
        <item n="Non-smoking" x="1"/>
        <item n="smoking" x="0"/>
        <item t="default"/>
      </items>
    </pivotField>
  </pivotFields>
  <rowFields count="1">
    <field x="0"/>
  </rowFields>
  <rowItems count="3">
    <i>
      <x/>
    </i>
    <i>
      <x v="1"/>
    </i>
    <i t="grand">
      <x/>
    </i>
  </rowItems>
  <colItems count="1">
    <i/>
  </colItems>
  <dataFields count="1">
    <dataField name="Count of Do you smoke?" fld="0" subtotal="count" showDataAs="percentOfTotal" baseField="0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851BF12-1750-4E4A-98D0-BF171AEFBC8D}" name="PivotTable3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 rowHeaderCaption="Feculty">
  <location ref="A18:D27" firstHeaderRow="1" firstDataRow="2" firstDataCol="1"/>
  <pivotFields count="10">
    <pivotField axis="axisRow" showAll="0">
      <items count="8">
        <item x="1"/>
        <item x="5"/>
        <item x="6"/>
        <item x="2"/>
        <item x="3"/>
        <item x="0"/>
        <item x="4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axis="axisCol" dataField="1" showAll="0">
      <items count="3">
        <item n="No" x="1"/>
        <item n="Yes" x="0"/>
        <item t="default"/>
      </items>
    </pivotField>
  </pivotFields>
  <rowFields count="1">
    <field x="0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9"/>
  </colFields>
  <colItems count="3">
    <i>
      <x/>
    </i>
    <i>
      <x v="1"/>
    </i>
    <i t="grand">
      <x/>
    </i>
  </colItems>
  <dataFields count="1">
    <dataField name="Count of Do you smoke?" fld="9" subtotal="count" showDataAs="percentOfTotal" baseField="0" baseItem="0" numFmtId="10"/>
  </dataFields>
  <chartFormats count="2">
    <chartFormat chart="1" format="0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0"/>
          </reference>
        </references>
      </pivotArea>
    </chartFormat>
    <chartFormat chart="1" format="1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F156BEF-148C-964F-B2D5-6F69B6ACB88A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A1:B4" firstHeaderRow="1" firstDataRow="1" firstDataCol="1"/>
  <pivotFields count="1">
    <pivotField axis="axisRow" dataField="1" showAll="0">
      <items count="3">
        <item n="No" x="1"/>
        <item n="Yes" x="0"/>
        <item t="default"/>
      </items>
    </pivotField>
  </pivotFields>
  <rowFields count="1">
    <field x="0"/>
  </rowFields>
  <rowItems count="3">
    <i>
      <x/>
    </i>
    <i>
      <x v="1"/>
    </i>
    <i t="grand">
      <x/>
    </i>
  </rowItems>
  <colItems count="1">
    <i/>
  </colItems>
  <dataFields count="1">
    <dataField name="Count of Do you smoke?" fld="0" subtotal="count" baseField="0" baseItem="0"/>
  </dataField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AFD564C-79FF-41DD-B2E8-C32ED848D943}" name="PivotTable10" cacheId="6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1">
  <location ref="A78:B81" firstHeaderRow="1" firstDataRow="1" firstDataCol="1"/>
  <pivotFields count="24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3">
        <item n="Non-Smokers" x="1"/>
        <item n="Smokers"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</pivotFields>
  <rowFields count="1">
    <field x="12"/>
  </rowFields>
  <rowItems count="3">
    <i>
      <x/>
    </i>
    <i>
      <x v="1"/>
    </i>
    <i t="grand">
      <x/>
    </i>
  </rowItems>
  <colItems count="1">
    <i/>
  </colItems>
  <dataFields count="1">
    <dataField name="Average of Negative Health effect knowledge" fld="22" subtotal="average" baseField="12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D0E8DAF-86D0-44E1-86FE-B9A10E3485AC}" name="PivotTable2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7" indent="0" outline="1" outlineData="1" multipleFieldFilters="0" chartFormat="5">
  <location ref="A63:E67" firstHeaderRow="1" firstDataRow="2" firstDataCol="1"/>
  <pivotFields count="30">
    <pivotField showAll="0"/>
    <pivotField numFmtId="164"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numFmtId="164"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/>
    <pivotField showAll="0"/>
    <pivotField showAll="0"/>
    <pivotField showAll="0"/>
    <pivotField showAll="0">
      <items count="6">
        <item x="0"/>
        <item x="1"/>
        <item x="2"/>
        <item x="3"/>
        <item x="4"/>
        <item t="default"/>
      </items>
    </pivotField>
    <pivotField showAll="0"/>
    <pivotField showAll="0"/>
    <pivotField axis="axisCol" showAll="0">
      <items count="4">
        <item n="Very Well" x="0"/>
        <item n="Somewhat" x="1"/>
        <item n="Nuetral" x="2"/>
        <item t="default"/>
      </items>
    </pivotField>
    <pivotField showAll="0"/>
    <pivotField showAll="0"/>
    <pivotField showAll="0"/>
    <pivotField showAll="0"/>
    <pivotField showAll="0"/>
    <pivotField showAll="0"/>
    <pivotField axis="axisRow" dataField="1" showAll="0">
      <items count="3">
        <item n="smoker" x="1"/>
        <item n="non-smoker"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17"/>
  </rowFields>
  <rowItems count="3">
    <i>
      <x/>
    </i>
    <i>
      <x v="1"/>
    </i>
    <i t="grand">
      <x/>
    </i>
  </rowItems>
  <colFields count="1">
    <field x="10"/>
  </colFields>
  <colItems count="4">
    <i>
      <x/>
    </i>
    <i>
      <x v="1"/>
    </i>
    <i>
      <x v="2"/>
    </i>
    <i t="grand">
      <x/>
    </i>
  </colItems>
  <dataFields count="1">
    <dataField name="Count of Do you smoke?" fld="17" subtotal="count" showDataAs="percentOfTotal" baseField="17" baseItem="0" numFmtId="10"/>
  </dataFields>
  <chartFormats count="3">
    <chartFormat chart="1" format="0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0"/>
          </reference>
        </references>
      </pivotArea>
    </chartFormat>
    <chartFormat chart="1" format="1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1"/>
          </reference>
        </references>
      </pivotArea>
    </chartFormat>
    <chartFormat chart="1" format="2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856F5C6-77A2-4EC7-A8A0-C926F5471FAF}" name="PivotTable14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7" indent="0" outline="1" outlineData="1" multipleFieldFilters="0" chartFormat="5">
  <location ref="A39:D44" firstHeaderRow="1" firstDataRow="2" firstDataCol="1"/>
  <pivotFields count="28">
    <pivotField showAll="0"/>
    <pivotField numFmtId="164" showAll="0"/>
    <pivotField numFmtId="164" showAll="0"/>
    <pivotField showAll="0"/>
    <pivotField showAll="0"/>
    <pivotField showAll="0"/>
    <pivotField axis="axisRow" dataField="1" showAll="0">
      <items count="4">
        <item n="Male" x="0"/>
        <item n="Females" x="1"/>
        <item n="Non-Binary"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Col" showAll="0">
      <items count="3">
        <item n="Non-smoker" x="1"/>
        <item n="Smoker"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6"/>
  </rowFields>
  <rowItems count="4">
    <i>
      <x/>
    </i>
    <i>
      <x v="1"/>
    </i>
    <i>
      <x v="2"/>
    </i>
    <i t="grand">
      <x/>
    </i>
  </rowItems>
  <colFields count="1">
    <field x="17"/>
  </colFields>
  <colItems count="3">
    <i>
      <x/>
    </i>
    <i>
      <x v="1"/>
    </i>
    <i t="grand">
      <x/>
    </i>
  </colItems>
  <dataFields count="1">
    <dataField name="Count of What is your gender?" fld="6" subtotal="count" showDataAs="percentOfTotal" baseField="6" baseItem="1" numFmtId="10"/>
  </dataFields>
  <chartFormats count="4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17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7" count="1" selected="0">
            <x v="1"/>
          </reference>
        </references>
      </pivotArea>
    </chartFormat>
    <chartFormat chart="0" format="2">
      <pivotArea type="data" outline="0" fieldPosition="0">
        <references count="3">
          <reference field="4294967294" count="1" selected="0">
            <x v="0"/>
          </reference>
          <reference field="6" count="1" selected="0">
            <x v="2"/>
          </reference>
          <reference field="17" count="1" selected="0">
            <x v="0"/>
          </reference>
        </references>
      </pivotArea>
    </chartFormat>
    <chartFormat chart="0" format="3">
      <pivotArea type="data" outline="0" fieldPosition="0">
        <references count="3">
          <reference field="4294967294" count="1" selected="0">
            <x v="0"/>
          </reference>
          <reference field="6" count="1" selected="0">
            <x v="2"/>
          </reference>
          <reference field="17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E6A7523-D556-4C2C-9B10-6A9A657171B4}" name="PivotTable1" cacheId="4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1">
  <location ref="J18:N23" firstHeaderRow="1" firstDataRow="2" firstDataCol="1"/>
  <pivotFields count="26">
    <pivotField showAll="0"/>
    <pivotField numFmtId="164" showAll="0"/>
    <pivotField numFmtId="164" showAll="0"/>
    <pivotField showAll="0"/>
    <pivotField showAll="0"/>
    <pivotField showAll="0"/>
    <pivotField axis="axisRow" dataField="1" showAll="0">
      <items count="4">
        <item n="Male" x="0"/>
        <item n="Female" x="1"/>
        <item n="Non-Binary"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Col" showAll="0">
      <items count="4">
        <item x="1"/>
        <item x="2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</pivotFields>
  <rowFields count="1">
    <field x="6"/>
  </rowFields>
  <rowItems count="4">
    <i>
      <x/>
    </i>
    <i>
      <x v="1"/>
    </i>
    <i>
      <x v="2"/>
    </i>
    <i t="grand">
      <x/>
    </i>
  </rowItems>
  <colFields count="1">
    <field x="18"/>
  </colFields>
  <colItems count="4">
    <i>
      <x/>
    </i>
    <i>
      <x v="1"/>
    </i>
    <i>
      <x v="2"/>
    </i>
    <i t="grand">
      <x/>
    </i>
  </colItems>
  <dataFields count="1">
    <dataField name="Count of What is your gender?" fld="6" subtotal="count" baseField="6" baseItem="0"/>
  </dataFields>
  <chartFormats count="3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18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8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18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644272B-921E-4F3B-9C92-3FD84E7CCA95}" name="PivotTable5" cacheId="4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4">
  <location ref="J78:K82" firstHeaderRow="1" firstDataRow="1" firstDataCol="1"/>
  <pivotFields count="26">
    <pivotField showAll="0"/>
    <pivotField numFmtId="164" showAll="0"/>
    <pivotField numFmtId="16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>
      <items count="6">
        <item x="1"/>
        <item x="0"/>
        <item x="3"/>
        <item x="2"/>
        <item x="4"/>
        <item t="default"/>
      </items>
    </pivotField>
    <pivotField showAll="0"/>
    <pivotField axis="axisRow" showAll="0">
      <items count="4">
        <item x="1"/>
        <item x="2"/>
        <item x="0"/>
        <item t="default"/>
      </items>
    </pivotField>
    <pivotField showAll="0"/>
    <pivotField showAll="0"/>
    <pivotField showAll="0"/>
    <pivotField showAll="0"/>
  </pivotFields>
  <rowFields count="1">
    <field x="21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Average of How many joints or cigarettes do you smoke on average a day?" fld="19" subtotal="average" baseField="21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F140C84-B61F-AF4E-89B5-BA3A32F945CD}" name="PivotTable11" cacheId="1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B118:D126" firstHeaderRow="1" firstDataRow="2" firstDataCol="1"/>
  <pivotFields count="24">
    <pivotField showAll="0"/>
    <pivotField numFmtId="22" showAll="0"/>
    <pivotField numFmtId="22" showAll="0"/>
    <pivotField showAll="0"/>
    <pivotField showAll="0"/>
    <pivotField axis="axisRow" dataField="1" showAll="0">
      <items count="8">
        <item x="1"/>
        <item x="5"/>
        <item x="6"/>
        <item x="2"/>
        <item x="3"/>
        <item x="0"/>
        <item x="4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axis="axisCol" showAll="0">
      <items count="3">
        <item h="1" x="1"/>
        <item n="Smokers"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5"/>
  </rowFields>
  <rowItems count="7">
    <i>
      <x/>
    </i>
    <i>
      <x v="2"/>
    </i>
    <i>
      <x v="3"/>
    </i>
    <i>
      <x v="4"/>
    </i>
    <i>
      <x v="5"/>
    </i>
    <i>
      <x v="6"/>
    </i>
    <i t="grand">
      <x/>
    </i>
  </rowItems>
  <colFields count="1">
    <field x="14"/>
  </colFields>
  <colItems count="2">
    <i>
      <x v="1"/>
    </i>
    <i t="grand">
      <x/>
    </i>
  </colItems>
  <dataFields count="1">
    <dataField name="Count of Faculty" fld="5" subtotal="count" showDataAs="percentOfTotal" baseField="0" baseItem="0" numFmtId="10"/>
  </dataFields>
  <chartFormats count="6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14" count="1" selected="0">
            <x v="1"/>
          </reference>
        </references>
      </pivotArea>
    </chartFormat>
    <chartFormat chart="1" format="0" series="1">
      <pivotArea type="data" outline="0" fieldPosition="0">
        <references count="2">
          <reference field="4294967294" count="1" selected="0">
            <x v="0"/>
          </reference>
          <reference field="14" count="1" selected="0">
            <x v="1"/>
          </reference>
        </references>
      </pivotArea>
    </chartFormat>
    <chartFormat chart="1" format="1" series="1">
      <pivotArea type="data" outline="0" fieldPosition="0">
        <references count="2">
          <reference field="4294967294" count="1" selected="0">
            <x v="0"/>
          </reference>
          <reference field="14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4" count="1" selected="0">
            <x v="0"/>
          </reference>
        </references>
      </pivotArea>
    </chartFormat>
    <chartFormat chart="1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5C5614F-4B8D-45B4-B8E7-4C415DED0831}" name="PivotTable6" cacheId="4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1">
  <location ref="Q17:R24" firstHeaderRow="1" firstDataRow="1" firstDataCol="1"/>
  <pivotFields count="26">
    <pivotField showAll="0"/>
    <pivotField numFmtId="164" showAll="0"/>
    <pivotField numFmtId="164" showAll="0"/>
    <pivotField showAll="0"/>
    <pivotField showAll="0"/>
    <pivotField showAll="0"/>
    <pivotField showAll="0"/>
    <pivotField showAll="0"/>
    <pivotField axis="axisRow" showAll="0">
      <items count="7">
        <item x="3"/>
        <item x="5"/>
        <item x="1"/>
        <item x="2"/>
        <item x="0"/>
        <item x="4"/>
        <item t="default"/>
      </items>
    </pivotField>
    <pivotField showAll="0">
      <items count="5">
        <item x="3"/>
        <item x="1"/>
        <item x="2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</pivotFields>
  <rowFields count="1">
    <field x="8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Average of How many joints or cigarettes do you smoke on average a day?2" fld="25" subtotal="average" baseField="9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FB746D2-4987-49B6-91F2-0A7F5DB3B97D}" name="PivotTable4" cacheId="5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7">
  <location ref="B82:C85" firstHeaderRow="1" firstDataRow="1" firstDataCol="1"/>
  <pivotFields count="1">
    <pivotField axis="axisRow" dataField="1" showAll="0">
      <items count="3">
        <item x="1"/>
        <item x="0"/>
        <item t="default"/>
      </items>
    </pivotField>
  </pivotFields>
  <rowFields count="1">
    <field x="0"/>
  </rowFields>
  <rowItems count="3">
    <i>
      <x/>
    </i>
    <i>
      <x v="1"/>
    </i>
    <i t="grand">
      <x/>
    </i>
  </rowItems>
  <colItems count="1">
    <i/>
  </colItems>
  <dataFields count="1">
    <dataField name="Count of What was your gateway drug?" fld="0" subtotal="count" baseField="0" baseItem="0"/>
  </dataFields>
  <chartFormats count="9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1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4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1" format="5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2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7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2" format="8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AB32" totalsRowShown="0">
  <autoFilter ref="A1:AB32" xr:uid="{00000000-0009-0000-0100-000001000000}"/>
  <tableColumns count="28">
    <tableColumn id="1" xr3:uid="{00000000-0010-0000-0000-000001000000}" name="ID" dataDxfId="72"/>
    <tableColumn id="2" xr3:uid="{00000000-0010-0000-0000-000002000000}" name="Start time" dataDxfId="71"/>
    <tableColumn id="3" xr3:uid="{00000000-0010-0000-0000-000003000000}" name="Completion time" dataDxfId="70"/>
    <tableColumn id="4" xr3:uid="{00000000-0010-0000-0000-000004000000}" name="Email" dataDxfId="69"/>
    <tableColumn id="6" xr3:uid="{00000000-0010-0000-0000-000006000000}" name="Last modified time" dataDxfId="68"/>
    <tableColumn id="7" xr3:uid="{00000000-0010-0000-0000-000007000000}" name="What is your gender?" dataDxfId="67"/>
    <tableColumn id="8" xr3:uid="{00000000-0010-0000-0000-000008000000}" name="How old are you?" dataDxfId="66"/>
    <tableColumn id="9" xr3:uid="{00000000-0010-0000-0000-000009000000}" name="Faculty" dataDxfId="65"/>
    <tableColumn id="10" xr3:uid="{00000000-0010-0000-0000-00000A000000}" name="What year of study are you in?" dataDxfId="64"/>
    <tableColumn id="11" xr3:uid="{00000000-0010-0000-0000-00000B000000}" name="Rate your knowledge" dataDxfId="63"/>
    <tableColumn id="12" xr3:uid="{00000000-0010-0000-0000-00000C000000}" name="Fertility Issues" dataDxfId="62"/>
    <tableColumn id="13" xr3:uid="{00000000-0010-0000-0000-00000D000000}" name="Lung, Mouth and Throat Cancer" dataDxfId="61"/>
    <tableColumn id="14" xr3:uid="{00000000-0010-0000-0000-00000E000000}" name="Erectile Dysfunction" dataDxfId="60"/>
    <tableColumn id="15" xr3:uid="{00000000-0010-0000-0000-00000F000000}" name="Cardiovascular Disease" dataDxfId="59"/>
    <tableColumn id="16" xr3:uid="{00000000-0010-0000-0000-000010000000}" name="Respiratory Illnesses " dataDxfId="58"/>
    <tableColumn id="17" xr3:uid="{00000000-0010-0000-0000-000011000000}" name="Type 2 Diabetes" dataDxfId="57"/>
    <tableColumn id="18" xr3:uid="{00000000-0010-0000-0000-000012000000}" name="Do you smoke?" dataDxfId="56"/>
    <tableColumn id="19" xr3:uid="{00000000-0010-0000-0000-000013000000}" name="How Often?" dataDxfId="55"/>
    <tableColumn id="20" xr3:uid="{00000000-0010-0000-0000-000014000000}" name="How many joints or cigarettes do you smoke on average a day?" dataDxfId="54"/>
    <tableColumn id="21" xr3:uid="{00000000-0010-0000-0000-000015000000}" name="Type of product" dataDxfId="53"/>
    <tableColumn id="22" xr3:uid="{00000000-0010-0000-0000-000016000000}" name="For how long have you been smoking?" dataDxfId="52"/>
    <tableColumn id="23" xr3:uid="{00000000-0010-0000-0000-000017000000}" name="Why did you start" dataDxfId="51"/>
    <tableColumn id="24" xr3:uid="{00000000-0010-0000-0000-000018000000}" name="Why do you continue smoking?" dataDxfId="50"/>
    <tableColumn id="25" xr3:uid="{00000000-0010-0000-0000-000019000000}" name="Why don't you smoke?" dataDxfId="49"/>
    <tableColumn id="26" xr3:uid="{00000000-0010-0000-0000-00001A000000}" name="Have you tried it before" dataDxfId="48"/>
    <tableColumn id="27" xr3:uid="{00000000-0010-0000-0000-00001B000000}" name="Would you try it?" dataDxfId="47"/>
    <tableColumn id="5" xr3:uid="{3AE54491-CAD1-4FA4-BBDC-1E3ABC021D9B}" name="Negative Health effect knowledge" dataDxfId="46">
      <calculatedColumnFormula>COUNTIF(K2:P2, "1")</calculatedColumnFormula>
    </tableColumn>
    <tableColumn id="28" xr3:uid="{95B8519C-B099-44FE-A7AF-8FCCDC85C1B2}" name="What was your gateway drug?" dataDxfId="45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B4CDB17-CD87-2646-84A1-A07243E44110}" name="Table13" displayName="Table13" ref="A1:AA12" totalsRowShown="0">
  <autoFilter ref="A1:AA12" xr:uid="{9B4CDB17-CD87-2646-84A1-A07243E44110}"/>
  <tableColumns count="27">
    <tableColumn id="1" xr3:uid="{80458371-BBF2-4141-831C-9BA431E49949}" name="ID" dataDxfId="44"/>
    <tableColumn id="2" xr3:uid="{98A8C4F5-4ACF-F84A-88EB-B408B7ADDCF7}" name="Start time" dataDxfId="43"/>
    <tableColumn id="3" xr3:uid="{D860EEE5-7FD0-2C40-AAD1-260ECB7B83BA}" name="Completion time" dataDxfId="42"/>
    <tableColumn id="4" xr3:uid="{0C6862FE-54E7-6145-8CD1-1F41CB5BC482}" name="Email" dataDxfId="41"/>
    <tableColumn id="5" xr3:uid="{BBA4C870-186A-AB48-ACB3-A128A8A06A06}" name="Name" dataDxfId="40"/>
    <tableColumn id="6" xr3:uid="{4702AAD9-7A37-A94D-92DB-3D16666A8C6B}" name="Last modified time" dataDxfId="39"/>
    <tableColumn id="7" xr3:uid="{D90EE86E-6688-DE41-BBA6-E75BD783FB64}" name="What is your gender?" dataDxfId="38"/>
    <tableColumn id="8" xr3:uid="{7C013FB5-9044-F64A-A958-6142AD0AD6B6}" name="How old are you?" dataDxfId="37"/>
    <tableColumn id="9" xr3:uid="{E97EFFB1-C95E-5349-A6DE-3F79390CA22F}" name="Faculty" dataDxfId="36"/>
    <tableColumn id="10" xr3:uid="{A453D9CA-FD3B-F445-B756-8835AD968CC2}" name="What year of study are you in?" dataDxfId="35"/>
    <tableColumn id="11" xr3:uid="{F224FECD-846E-5649-846C-E31117240F12}" name="Rate your knowledge" dataDxfId="34"/>
    <tableColumn id="12" xr3:uid="{ACB9399A-A214-BC4D-BD29-2D17C160AAE4}" name="Fertility Issues" dataDxfId="33"/>
    <tableColumn id="13" xr3:uid="{8E7638E2-00FB-714F-8B2B-77C0D35A775A}" name="Lung, Mouth and Throat Cancer" dataDxfId="32"/>
    <tableColumn id="14" xr3:uid="{E15A2E23-5C6A-234C-AC82-E9AE740AD04F}" name="Erectile Dysfunction" dataDxfId="31"/>
    <tableColumn id="15" xr3:uid="{4E71B9AC-C80B-EB40-9CD7-1B95B1829720}" name="Cardiovascular Disease" dataDxfId="30"/>
    <tableColumn id="16" xr3:uid="{E328C586-9B35-744F-A306-51D85CA3D2C7}" name="Respiratory Illnesses " dataDxfId="29"/>
    <tableColumn id="17" xr3:uid="{83B1B49A-149C-4B4C-A933-FE3F529822BA}" name="Type 2 Diabetes" dataDxfId="28"/>
    <tableColumn id="18" xr3:uid="{79357DB1-36E4-894E-AB9E-275FF4D5411B}" name="Do you smoke?" dataDxfId="27"/>
    <tableColumn id="19" xr3:uid="{C60DB702-82D9-0545-9999-C4674892DDB4}" name="How Often?" dataDxfId="26"/>
    <tableColumn id="20" xr3:uid="{004F4402-2298-3049-AA28-58219D32C0A0}" name="How many joints or cigarettes do you smoke on average a day?" dataDxfId="25"/>
    <tableColumn id="21" xr3:uid="{2793FA88-287E-9D4D-BE79-D7BF1B4234D5}" name="Type of product" dataDxfId="24"/>
    <tableColumn id="22" xr3:uid="{32FAB744-26A6-4746-A9B0-758D21798CB5}" name="For how long have you been smoking?" dataDxfId="23"/>
    <tableColumn id="23" xr3:uid="{B18ED23B-4C62-8643-ABD1-10FF5700E4A5}" name="Why did you start" dataDxfId="22"/>
    <tableColumn id="24" xr3:uid="{40D8F4CE-AE5B-5243-8AF5-E8B43B3904B6}" name="Why do you continue smoking?" dataDxfId="21"/>
    <tableColumn id="25" xr3:uid="{F531B9CC-BF1A-524F-AA91-72145DB82760}" name="Selected negative Health effect knowledge" dataDxfId="20">
      <calculatedColumnFormula>COUNTIF(L2:Q2, "1")</calculatedColumnFormula>
    </tableColumn>
    <tableColumn id="26" xr3:uid="{E4BD4C1B-89A7-4A46-A8B0-5A875815CCBC}" name="How many joints or cigarettes do you smoke on average a day?2" dataDxfId="19"/>
    <tableColumn id="27" xr3:uid="{C80B7822-B74F-4F41-B51B-FB1497448EF4}" name="What was your gateway drug?" dataDxfId="18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AB73D399-62ED-404E-9B36-39ED8C3364BF}" name="Table15" displayName="Table15" ref="A1:R21" totalsRowShown="0">
  <autoFilter ref="A1:R21" xr:uid="{AB73D399-62ED-404E-9B36-39ED8C3364BF}"/>
  <tableColumns count="18">
    <tableColumn id="1" xr3:uid="{913F7F98-0686-4087-BBBF-D8C88A6FF10C}" name="ID" dataDxfId="17"/>
    <tableColumn id="6" xr3:uid="{9F252692-A36E-4F32-A693-AE5808A3EE64}" name="Last modified time" dataDxfId="16"/>
    <tableColumn id="7" xr3:uid="{A8DAE435-4005-45D6-8FAE-A5AD15286456}" name="What is your gender?" dataDxfId="15"/>
    <tableColumn id="8" xr3:uid="{27D1FE45-FFA0-4984-8270-9CDBCE390341}" name="How old are you?" dataDxfId="14"/>
    <tableColumn id="9" xr3:uid="{CAB0FBF4-8778-43BD-82B9-9B3C2BE97CC5}" name="Faculty" dataDxfId="13"/>
    <tableColumn id="10" xr3:uid="{71AB17F7-5F82-4F10-96A6-D87831EA587F}" name="What year of study are you in?" dataDxfId="12"/>
    <tableColumn id="11" xr3:uid="{0F151556-C3F3-4BE0-9992-91067A47B360}" name="Rate your knowledge" dataDxfId="11"/>
    <tableColumn id="12" xr3:uid="{DEA5D5D9-EB57-4161-9D37-7886504FAC88}" name="Fertility Issues" dataDxfId="10"/>
    <tableColumn id="13" xr3:uid="{EDE8793A-173F-4AFF-9A6F-B9A6940634D6}" name="Lung, Mouth and Throat Cancer" dataDxfId="9"/>
    <tableColumn id="14" xr3:uid="{68AD3164-D4CE-457A-B581-0447C89026EA}" name="Erectile Dysfunction" dataDxfId="8"/>
    <tableColumn id="15" xr3:uid="{50B58E6D-2721-4653-91CD-92AB3D6DA547}" name="Cardiovascular Disease" dataDxfId="7"/>
    <tableColumn id="16" xr3:uid="{F244FFC6-9C0B-460D-9828-87A0252EF2A3}" name="Respiratory Illnesses " dataDxfId="6"/>
    <tableColumn id="17" xr3:uid="{B86584CF-8AFB-487D-AAF0-4AC8C47F70B9}" name="Type 2 Diabetes" dataDxfId="5"/>
    <tableColumn id="18" xr3:uid="{EA031BE4-AE50-41E2-BD49-A698EAEE86AC}" name="Do you smoke?" dataDxfId="4"/>
    <tableColumn id="25" xr3:uid="{8E53DE6E-2CBE-4822-8CC9-AC21A9FBE3B4}" name="Why don't you smoke?" dataDxfId="3"/>
    <tableColumn id="26" xr3:uid="{0935ACAE-AA71-47FC-BED5-FBCD0CF36D72}" name="Have you tried it before" dataDxfId="2"/>
    <tableColumn id="27" xr3:uid="{7AC7AD86-6C68-435E-AB58-52F4391DC845}" name="Would you try it?" dataDxfId="1"/>
    <tableColumn id="2" xr3:uid="{8070A2FC-0F82-3842-A42B-BADD3B56B9C0}" name="Negative Health effect knowledge" dataDxfId="0">
      <calculatedColumnFormula>COUNTIF(Table15[[#This Row],[Fertility Issues]:[Respiratory Illnesses ]], "1")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F1" dT="2025-05-03T23:59:45.08" personId="{A4E4A9B3-1B51-354B-8585-A16B603D7691}" id="{A4521862-9DBF-D942-A6E1-E237834E37FF}">
    <text>1 : Male
2 : Female
3 : Non-Binary</text>
  </threadedComment>
  <threadedComment ref="K1" dT="2025-05-04T15:23:22.03" personId="{A4E4A9B3-1B51-354B-8585-A16B603D7691}" id="{EF65EA71-1229-8C4E-A46F-4201BBC5235E}">
    <text>1 : Yes
2 : No</text>
  </threadedComment>
  <threadedComment ref="L1" dT="2025-05-04T15:23:08.51" personId="{A4E4A9B3-1B51-354B-8585-A16B603D7691}" id="{BD0FE5C0-3A1B-7A4B-B839-22E0CAEA34D7}">
    <text>1 : Yes
2 : No</text>
  </threadedComment>
  <threadedComment ref="M1" dT="2025-05-04T15:20:00.92" personId="{A4E4A9B3-1B51-354B-8585-A16B603D7691}" id="{9C107A1A-CB1D-5D45-90BC-340EFCB27339}">
    <text>1 : Yes
2 : No</text>
  </threadedComment>
  <threadedComment ref="N1" dT="2025-05-04T15:19:44.22" personId="{A4E4A9B3-1B51-354B-8585-A16B603D7691}" id="{211865E2-24B1-7C40-9A9D-BE200CA32F0F}">
    <text>1 : Yes
0 : No</text>
  </threadedComment>
  <threadedComment ref="O1" dT="2025-05-04T15:19:22.42" personId="{A4E4A9B3-1B51-354B-8585-A16B603D7691}" id="{4C6152CE-526D-CB41-BD8A-7D080D03B18B}">
    <text>1 : Yes
0 : No</text>
  </threadedComment>
  <threadedComment ref="P1" dT="2025-05-04T15:13:46.19" personId="{A4E4A9B3-1B51-354B-8585-A16B603D7691}" id="{A574643B-B826-304E-94EA-EEF8CED3EDB7}">
    <text>1 : Yes
0 : No</text>
  </threadedComment>
  <threadedComment ref="Q1" dT="2025-05-04T15:11:24.83" personId="{A4E4A9B3-1B51-354B-8585-A16B603D7691}" id="{61B774D0-0720-A342-B2F2-40A92F9F1D7D}">
    <text>1 : Yes
0 : No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G1" dT="2025-05-03T23:59:45.08" personId="{A4E4A9B3-1B51-354B-8585-A16B603D7691}" id="{B1E8DC16-954D-3D4C-9BB6-6E18CD9275A9}">
    <text>1 : Male
2 : Female
3 : Non-Binary</text>
  </threadedComment>
  <threadedComment ref="L1" dT="2025-05-04T15:23:22.03" personId="{A4E4A9B3-1B51-354B-8585-A16B603D7691}" id="{8F4EF851-B0A6-EE4C-8659-3E32F6E1FF37}">
    <text>1 : Yes
2 : No</text>
  </threadedComment>
  <threadedComment ref="M1" dT="2025-05-04T15:23:08.51" personId="{A4E4A9B3-1B51-354B-8585-A16B603D7691}" id="{F2490F4A-9AFF-5D4F-BB90-5C77F4DE8439}">
    <text>1 : Yes
2 : No</text>
  </threadedComment>
  <threadedComment ref="N1" dT="2025-05-04T15:20:00.92" personId="{A4E4A9B3-1B51-354B-8585-A16B603D7691}" id="{F8C65867-9E6D-D241-AAE1-8446F02C1FD3}">
    <text>1 : Yes
2 : No</text>
  </threadedComment>
  <threadedComment ref="O1" dT="2025-05-04T15:19:44.22" personId="{A4E4A9B3-1B51-354B-8585-A16B603D7691}" id="{E69C6D34-EE97-D046-BF97-7C84A4523D99}">
    <text>1 : Yes
0 : No</text>
  </threadedComment>
  <threadedComment ref="P1" dT="2025-05-04T15:19:22.42" personId="{A4E4A9B3-1B51-354B-8585-A16B603D7691}" id="{7EA897B5-3B5B-8748-AE64-1625CE4BE053}">
    <text>1 : Yes
0 : No</text>
  </threadedComment>
  <threadedComment ref="Q1" dT="2025-05-04T15:13:46.19" personId="{A4E4A9B3-1B51-354B-8585-A16B603D7691}" id="{7727A185-0148-5940-84E1-AACA74C84C78}">
    <text>1 : Yes
0 : No</text>
  </threadedComment>
  <threadedComment ref="R1" dT="2025-05-04T15:11:24.83" personId="{A4E4A9B3-1B51-354B-8585-A16B603D7691}" id="{90CF0BBE-C50D-E64F-BD2F-D7485E29B89E}">
    <text>1 : Yes
0 : No</text>
  </threadedComment>
</ThreadedComments>
</file>

<file path=xl/threadedComments/threadedComment3.xml><?xml version="1.0" encoding="utf-8"?>
<ThreadedComments xmlns="http://schemas.microsoft.com/office/spreadsheetml/2018/threadedcomments" xmlns:x="http://schemas.openxmlformats.org/spreadsheetml/2006/main">
  <threadedComment ref="C1" dT="2025-05-03T23:59:45.08" personId="{A4E4A9B3-1B51-354B-8585-A16B603D7691}" id="{A4521862-9DBF-D943-A6E1-E237834E37FF}">
    <text>1 : Male
2 : Female
3 : Non-Binary</text>
  </threadedComment>
  <threadedComment ref="H1" dT="2025-05-04T15:23:22.03" personId="{A4E4A9B3-1B51-354B-8585-A16B603D7691}" id="{EF65EA71-1229-8C4F-A46F-4201BBC5235E}">
    <text>1 : Yes
2 : No</text>
  </threadedComment>
  <threadedComment ref="I1" dT="2025-05-04T15:23:08.51" personId="{A4E4A9B3-1B51-354B-8585-A16B603D7691}" id="{BD0FE5C0-3A1B-7A4C-B839-22E0CAEA34D7}">
    <text>1 : Yes
2 : No</text>
  </threadedComment>
  <threadedComment ref="J1" dT="2025-05-04T15:20:00.92" personId="{A4E4A9B3-1B51-354B-8585-A16B603D7691}" id="{9C107A1A-CB1D-5D46-90BC-340EFCB27339}">
    <text>1 : Yes
2 : No</text>
  </threadedComment>
  <threadedComment ref="K1" dT="2025-05-04T15:19:44.22" personId="{A4E4A9B3-1B51-354B-8585-A16B603D7691}" id="{211865E2-24B1-7C41-9A9D-BE200CA32F0F}">
    <text>1 : Yes
0 : No</text>
  </threadedComment>
  <threadedComment ref="L1" dT="2025-05-04T15:19:22.42" personId="{A4E4A9B3-1B51-354B-8585-A16B603D7691}" id="{4C6152CE-526D-CB42-BD8A-7D080D03B18B}">
    <text>1 : Yes
0 : No</text>
  </threadedComment>
  <threadedComment ref="M1" dT="2025-05-04T15:13:46.19" personId="{A4E4A9B3-1B51-354B-8585-A16B603D7691}" id="{A574643B-B826-304F-94EA-EEF8CED3EDB7}">
    <text>1 : Yes
0 : No</text>
  </threadedComment>
  <threadedComment ref="N1" dT="2025-05-04T15:11:24.83" personId="{A4E4A9B3-1B51-354B-8585-A16B603D7691}" id="{61B774D0-0720-A343-B2F2-40A92F9F1D7D}">
    <text>1 : Yes
0 : No</text>
  </threadedComment>
</ThreadedComments>
</file>

<file path=xl/worksheets/_rels/sheet1.xml.rels><?xml version="1.0" encoding="UTF-8" standalone="yes"?>
<Relationships xmlns="http://schemas.openxmlformats.org/package/2006/relationships"><Relationship Id="rId8" Type="http://schemas.microsoft.com/office/2017/10/relationships/threadedComment" Target="../threadedComments/threadedComment1.xml"/><Relationship Id="rId3" Type="http://schemas.openxmlformats.org/officeDocument/2006/relationships/pivotTable" Target="../pivotTables/pivotTable3.xml"/><Relationship Id="rId7" Type="http://schemas.openxmlformats.org/officeDocument/2006/relationships/comments" Target="../comments1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table" Target="../tables/table1.xml"/><Relationship Id="rId5" Type="http://schemas.openxmlformats.org/officeDocument/2006/relationships/vmlDrawing" Target="../drawings/vmlDrawing1.vml"/><Relationship Id="rId4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6.xml"/><Relationship Id="rId7" Type="http://schemas.openxmlformats.org/officeDocument/2006/relationships/drawing" Target="../drawings/drawing1.xml"/><Relationship Id="rId2" Type="http://schemas.openxmlformats.org/officeDocument/2006/relationships/pivotTable" Target="../pivotTables/pivotTable5.xml"/><Relationship Id="rId1" Type="http://schemas.openxmlformats.org/officeDocument/2006/relationships/pivotTable" Target="../pivotTables/pivotTable4.xml"/><Relationship Id="rId6" Type="http://schemas.openxmlformats.org/officeDocument/2006/relationships/pivotTable" Target="../pivotTables/pivotTable9.xml"/><Relationship Id="rId5" Type="http://schemas.openxmlformats.org/officeDocument/2006/relationships/pivotTable" Target="../pivotTables/pivotTable8.xml"/><Relationship Id="rId4" Type="http://schemas.openxmlformats.org/officeDocument/2006/relationships/pivotTable" Target="../pivotTables/pivotTable7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12.xml"/><Relationship Id="rId2" Type="http://schemas.openxmlformats.org/officeDocument/2006/relationships/pivotTable" Target="../pivotTables/pivotTable11.xml"/><Relationship Id="rId1" Type="http://schemas.openxmlformats.org/officeDocument/2006/relationships/pivotTable" Target="../pivotTables/pivotTable10.xml"/><Relationship Id="rId6" Type="http://schemas.openxmlformats.org/officeDocument/2006/relationships/drawing" Target="../drawings/drawing2.xml"/><Relationship Id="rId5" Type="http://schemas.openxmlformats.org/officeDocument/2006/relationships/pivotTable" Target="../pivotTables/pivotTable14.xml"/><Relationship Id="rId4" Type="http://schemas.openxmlformats.org/officeDocument/2006/relationships/pivotTable" Target="../pivotTables/pivotTable13.xml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vmlDrawing" Target="../drawings/vmlDrawing2.vml"/><Relationship Id="rId3" Type="http://schemas.openxmlformats.org/officeDocument/2006/relationships/pivotTable" Target="../pivotTables/pivotTable17.xml"/><Relationship Id="rId7" Type="http://schemas.openxmlformats.org/officeDocument/2006/relationships/drawing" Target="../drawings/drawing3.xml"/><Relationship Id="rId2" Type="http://schemas.openxmlformats.org/officeDocument/2006/relationships/pivotTable" Target="../pivotTables/pivotTable16.xml"/><Relationship Id="rId1" Type="http://schemas.openxmlformats.org/officeDocument/2006/relationships/pivotTable" Target="../pivotTables/pivotTable15.xml"/><Relationship Id="rId6" Type="http://schemas.openxmlformats.org/officeDocument/2006/relationships/printerSettings" Target="../printerSettings/printerSettings2.bin"/><Relationship Id="rId11" Type="http://schemas.microsoft.com/office/2017/10/relationships/threadedComment" Target="../threadedComments/threadedComment2.xml"/><Relationship Id="rId5" Type="http://schemas.openxmlformats.org/officeDocument/2006/relationships/pivotTable" Target="../pivotTables/pivotTable19.xml"/><Relationship Id="rId10" Type="http://schemas.openxmlformats.org/officeDocument/2006/relationships/comments" Target="../comments2.xml"/><Relationship Id="rId4" Type="http://schemas.openxmlformats.org/officeDocument/2006/relationships/pivotTable" Target="../pivotTables/pivotTable18.xml"/><Relationship Id="rId9" Type="http://schemas.openxmlformats.org/officeDocument/2006/relationships/table" Target="../tables/table2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3.bin"/><Relationship Id="rId6" Type="http://schemas.microsoft.com/office/2017/10/relationships/threadedComment" Target="../threadedComments/threadedComment3.xml"/><Relationship Id="rId5" Type="http://schemas.openxmlformats.org/officeDocument/2006/relationships/comments" Target="../comments3.xml"/><Relationship Id="rId4" Type="http://schemas.openxmlformats.org/officeDocument/2006/relationships/table" Target="../tables/table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56"/>
  <sheetViews>
    <sheetView tabSelected="1" zoomScale="75" zoomScaleNormal="75" workbookViewId="0">
      <selection activeCell="E55" sqref="E55"/>
    </sheetView>
  </sheetViews>
  <sheetFormatPr defaultColWidth="8.85546875" defaultRowHeight="15" x14ac:dyDescent="0.25"/>
  <cols>
    <col min="1" max="4" width="20" bestFit="1" customWidth="1"/>
    <col min="5" max="5" width="14" bestFit="1" customWidth="1"/>
    <col min="6" max="6" width="9" bestFit="1" customWidth="1"/>
    <col min="7" max="7" width="20" bestFit="1" customWidth="1"/>
    <col min="8" max="8" width="38.42578125" bestFit="1" customWidth="1"/>
    <col min="9" max="9" width="14.85546875" bestFit="1" customWidth="1"/>
    <col min="10" max="10" width="3.140625" bestFit="1" customWidth="1"/>
    <col min="11" max="11" width="10" bestFit="1" customWidth="1"/>
    <col min="12" max="16" width="26.7109375" customWidth="1"/>
    <col min="17" max="18" width="20" bestFit="1" customWidth="1"/>
    <col min="19" max="19" width="67" customWidth="1"/>
    <col min="20" max="20" width="33.85546875" bestFit="1" customWidth="1"/>
    <col min="21" max="21" width="38.28515625" bestFit="1" customWidth="1"/>
    <col min="22" max="22" width="40.42578125" bestFit="1" customWidth="1"/>
    <col min="23" max="23" width="97.85546875" bestFit="1" customWidth="1"/>
    <col min="24" max="24" width="122.85546875" bestFit="1" customWidth="1"/>
    <col min="25" max="25" width="51.140625" customWidth="1"/>
    <col min="26" max="26" width="20" bestFit="1" customWidth="1"/>
    <col min="27" max="27" width="30.42578125" customWidth="1"/>
    <col min="28" max="28" width="40.28515625" bestFit="1" customWidth="1"/>
  </cols>
  <sheetData>
    <row r="1" spans="1:28" x14ac:dyDescent="0.25">
      <c r="A1" t="s">
        <v>0</v>
      </c>
      <c r="B1" t="s">
        <v>1</v>
      </c>
      <c r="C1" t="s">
        <v>2</v>
      </c>
      <c r="D1" t="s">
        <v>3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  <c r="T1" t="s">
        <v>20</v>
      </c>
      <c r="U1" t="s">
        <v>21</v>
      </c>
      <c r="V1" t="s">
        <v>22</v>
      </c>
      <c r="W1" t="s">
        <v>23</v>
      </c>
      <c r="X1" t="s">
        <v>24</v>
      </c>
      <c r="Y1" t="s">
        <v>25</v>
      </c>
      <c r="Z1" t="s">
        <v>26</v>
      </c>
      <c r="AA1" t="s">
        <v>77</v>
      </c>
      <c r="AB1" s="25" t="s">
        <v>118</v>
      </c>
    </row>
    <row r="2" spans="1:28" x14ac:dyDescent="0.25">
      <c r="A2">
        <v>1</v>
      </c>
      <c r="B2" s="1">
        <v>45777.953726851803</v>
      </c>
      <c r="C2" s="1">
        <v>45777.955127314803</v>
      </c>
      <c r="D2" t="s">
        <v>27</v>
      </c>
      <c r="E2" s="1"/>
      <c r="F2" s="2">
        <v>1</v>
      </c>
      <c r="G2" s="3">
        <v>23</v>
      </c>
      <c r="H2" t="s">
        <v>28</v>
      </c>
      <c r="I2" t="s">
        <v>29</v>
      </c>
      <c r="J2" s="2">
        <v>1</v>
      </c>
      <c r="K2" s="2">
        <v>1</v>
      </c>
      <c r="L2" s="2">
        <v>1</v>
      </c>
      <c r="M2" s="2">
        <v>0</v>
      </c>
      <c r="N2" s="2">
        <v>1</v>
      </c>
      <c r="O2" s="2">
        <v>1</v>
      </c>
      <c r="P2" s="2">
        <v>0</v>
      </c>
      <c r="Q2" s="2">
        <v>1</v>
      </c>
      <c r="R2" t="s">
        <v>32</v>
      </c>
      <c r="S2" s="3">
        <v>2</v>
      </c>
      <c r="T2" t="s">
        <v>33</v>
      </c>
      <c r="U2" t="s">
        <v>34</v>
      </c>
      <c r="V2" t="s">
        <v>35</v>
      </c>
      <c r="W2" t="s">
        <v>36</v>
      </c>
      <c r="AA2">
        <f t="shared" ref="AA2:AA32" si="0">COUNTIF(K2:P2, "1")</f>
        <v>4</v>
      </c>
      <c r="AB2" s="26" t="s">
        <v>119</v>
      </c>
    </row>
    <row r="3" spans="1:28" x14ac:dyDescent="0.25">
      <c r="A3">
        <v>2</v>
      </c>
      <c r="B3" s="1">
        <v>45777.957685185203</v>
      </c>
      <c r="C3" s="1">
        <v>45777.958564814799</v>
      </c>
      <c r="D3" t="s">
        <v>27</v>
      </c>
      <c r="E3" s="1"/>
      <c r="F3" s="2">
        <v>2</v>
      </c>
      <c r="G3" s="3">
        <v>21</v>
      </c>
      <c r="H3" t="s">
        <v>37</v>
      </c>
      <c r="I3" t="s">
        <v>29</v>
      </c>
      <c r="J3" s="2">
        <v>1</v>
      </c>
      <c r="K3" s="2">
        <v>0</v>
      </c>
      <c r="L3" s="2">
        <v>1</v>
      </c>
      <c r="M3" s="2">
        <v>0</v>
      </c>
      <c r="N3" s="2">
        <v>1</v>
      </c>
      <c r="O3" s="2">
        <v>1</v>
      </c>
      <c r="P3" s="2">
        <v>0</v>
      </c>
      <c r="Q3" s="2">
        <v>0</v>
      </c>
      <c r="S3" s="2"/>
      <c r="X3" t="s">
        <v>86</v>
      </c>
      <c r="Y3" t="s">
        <v>31</v>
      </c>
      <c r="Z3" t="s">
        <v>31</v>
      </c>
      <c r="AA3">
        <f t="shared" si="0"/>
        <v>3</v>
      </c>
    </row>
    <row r="4" spans="1:28" x14ac:dyDescent="0.25">
      <c r="A4">
        <v>3</v>
      </c>
      <c r="B4" s="1">
        <v>45777.970590277801</v>
      </c>
      <c r="C4" s="1">
        <v>45777.971539351798</v>
      </c>
      <c r="D4" t="s">
        <v>27</v>
      </c>
      <c r="E4" s="1"/>
      <c r="F4" s="2">
        <v>2</v>
      </c>
      <c r="G4" s="3">
        <v>20</v>
      </c>
      <c r="H4" t="s">
        <v>38</v>
      </c>
      <c r="I4" t="s">
        <v>39</v>
      </c>
      <c r="J4" s="2">
        <v>1</v>
      </c>
      <c r="K4" s="2">
        <v>0</v>
      </c>
      <c r="L4" s="2">
        <v>1</v>
      </c>
      <c r="M4" s="2">
        <v>0</v>
      </c>
      <c r="N4" s="2">
        <v>0</v>
      </c>
      <c r="O4" s="2">
        <v>1</v>
      </c>
      <c r="P4" s="2">
        <v>0</v>
      </c>
      <c r="Q4" s="2">
        <v>1</v>
      </c>
      <c r="R4" t="s">
        <v>32</v>
      </c>
      <c r="S4" s="3">
        <v>1</v>
      </c>
      <c r="T4" t="s">
        <v>40</v>
      </c>
      <c r="U4" t="s">
        <v>41</v>
      </c>
      <c r="V4" t="s">
        <v>42</v>
      </c>
      <c r="W4" t="s">
        <v>43</v>
      </c>
      <c r="AA4">
        <f t="shared" si="0"/>
        <v>2</v>
      </c>
      <c r="AB4" s="27" t="s">
        <v>119</v>
      </c>
    </row>
    <row r="5" spans="1:28" x14ac:dyDescent="0.25">
      <c r="A5">
        <v>4</v>
      </c>
      <c r="B5" s="1">
        <v>45777.9856828704</v>
      </c>
      <c r="C5" s="1">
        <v>45777.989293981504</v>
      </c>
      <c r="D5" t="s">
        <v>27</v>
      </c>
      <c r="E5" s="1"/>
      <c r="F5" s="2">
        <v>2</v>
      </c>
      <c r="G5" s="3">
        <v>22</v>
      </c>
      <c r="H5" t="s">
        <v>44</v>
      </c>
      <c r="I5" t="s">
        <v>45</v>
      </c>
      <c r="J5" s="2">
        <v>1</v>
      </c>
      <c r="K5" s="2">
        <v>1</v>
      </c>
      <c r="L5" s="2">
        <v>1</v>
      </c>
      <c r="M5" s="2">
        <v>1</v>
      </c>
      <c r="N5" s="2">
        <v>1</v>
      </c>
      <c r="O5" s="2">
        <v>1</v>
      </c>
      <c r="P5" s="2">
        <v>0</v>
      </c>
      <c r="Q5" s="2">
        <v>0</v>
      </c>
      <c r="S5" s="2"/>
      <c r="X5" t="s">
        <v>87</v>
      </c>
      <c r="Y5" t="s">
        <v>30</v>
      </c>
      <c r="Z5" t="s">
        <v>30</v>
      </c>
      <c r="AA5">
        <f t="shared" si="0"/>
        <v>5</v>
      </c>
    </row>
    <row r="6" spans="1:28" x14ac:dyDescent="0.25">
      <c r="A6">
        <v>5</v>
      </c>
      <c r="B6" s="1">
        <v>45778.127395833297</v>
      </c>
      <c r="C6" s="1">
        <v>45778.1303356481</v>
      </c>
      <c r="D6" t="s">
        <v>27</v>
      </c>
      <c r="E6" s="1"/>
      <c r="F6" s="2">
        <v>1</v>
      </c>
      <c r="G6" s="3">
        <v>31</v>
      </c>
      <c r="H6" t="s">
        <v>28</v>
      </c>
      <c r="I6" t="s">
        <v>39</v>
      </c>
      <c r="J6" s="2">
        <v>1</v>
      </c>
      <c r="K6" s="2">
        <v>0</v>
      </c>
      <c r="L6" s="2">
        <v>1</v>
      </c>
      <c r="M6" s="2">
        <v>0</v>
      </c>
      <c r="N6" s="2">
        <v>1</v>
      </c>
      <c r="O6" s="2">
        <v>1</v>
      </c>
      <c r="P6" s="2">
        <v>1</v>
      </c>
      <c r="Q6" s="2">
        <v>1</v>
      </c>
      <c r="R6" t="s">
        <v>46</v>
      </c>
      <c r="S6" s="3">
        <v>4</v>
      </c>
      <c r="T6" t="s">
        <v>47</v>
      </c>
      <c r="U6" t="s">
        <v>34</v>
      </c>
      <c r="V6" t="s">
        <v>48</v>
      </c>
      <c r="W6" t="s">
        <v>43</v>
      </c>
      <c r="AA6">
        <f t="shared" si="0"/>
        <v>4</v>
      </c>
      <c r="AB6" s="26" t="s">
        <v>119</v>
      </c>
    </row>
    <row r="7" spans="1:28" x14ac:dyDescent="0.25">
      <c r="A7">
        <v>6</v>
      </c>
      <c r="B7" s="1">
        <v>45778.248969907399</v>
      </c>
      <c r="C7" s="1">
        <v>45778.249803240702</v>
      </c>
      <c r="D7" t="s">
        <v>27</v>
      </c>
      <c r="E7" s="1"/>
      <c r="F7" s="2">
        <v>2</v>
      </c>
      <c r="G7" s="3">
        <v>21</v>
      </c>
      <c r="H7" t="s">
        <v>44</v>
      </c>
      <c r="I7" t="s">
        <v>39</v>
      </c>
      <c r="J7" s="2">
        <v>2</v>
      </c>
      <c r="K7" s="2">
        <v>0</v>
      </c>
      <c r="L7" s="2">
        <v>1</v>
      </c>
      <c r="M7" s="2">
        <v>0</v>
      </c>
      <c r="N7" s="2">
        <v>1</v>
      </c>
      <c r="O7" s="2">
        <v>1</v>
      </c>
      <c r="P7" s="2">
        <v>0</v>
      </c>
      <c r="Q7" s="2">
        <v>0</v>
      </c>
      <c r="S7" s="2"/>
      <c r="X7" t="s">
        <v>49</v>
      </c>
      <c r="Y7" t="s">
        <v>30</v>
      </c>
      <c r="Z7" t="s">
        <v>31</v>
      </c>
      <c r="AA7">
        <f t="shared" si="0"/>
        <v>3</v>
      </c>
    </row>
    <row r="8" spans="1:28" x14ac:dyDescent="0.25">
      <c r="A8">
        <v>7</v>
      </c>
      <c r="B8" s="1">
        <v>45778.254004629598</v>
      </c>
      <c r="C8" s="1">
        <v>45778.254768518498</v>
      </c>
      <c r="D8" t="s">
        <v>27</v>
      </c>
      <c r="E8" s="1"/>
      <c r="F8" s="2">
        <v>2</v>
      </c>
      <c r="G8" s="3">
        <v>18</v>
      </c>
      <c r="H8" t="s">
        <v>50</v>
      </c>
      <c r="I8" t="s">
        <v>39</v>
      </c>
      <c r="J8" s="2">
        <v>2</v>
      </c>
      <c r="K8" s="2">
        <v>1</v>
      </c>
      <c r="L8" s="2">
        <v>1</v>
      </c>
      <c r="M8" s="2">
        <v>1</v>
      </c>
      <c r="N8" s="2">
        <v>1</v>
      </c>
      <c r="O8" s="2">
        <v>1</v>
      </c>
      <c r="P8" s="2">
        <v>1</v>
      </c>
      <c r="Q8" s="2">
        <v>0</v>
      </c>
      <c r="S8" s="2"/>
      <c r="X8" t="s">
        <v>49</v>
      </c>
      <c r="Y8" t="s">
        <v>31</v>
      </c>
      <c r="Z8" t="s">
        <v>31</v>
      </c>
      <c r="AA8">
        <f>COUNTIF(J8:Q8, "1")</f>
        <v>6</v>
      </c>
    </row>
    <row r="9" spans="1:28" x14ac:dyDescent="0.25">
      <c r="A9">
        <v>8</v>
      </c>
      <c r="B9" s="1">
        <v>45778.352199074099</v>
      </c>
      <c r="C9" s="1">
        <v>45778.353252314802</v>
      </c>
      <c r="D9" t="s">
        <v>27</v>
      </c>
      <c r="E9" s="1"/>
      <c r="F9" s="2">
        <v>1</v>
      </c>
      <c r="G9" s="3">
        <v>25</v>
      </c>
      <c r="H9" t="s">
        <v>51</v>
      </c>
      <c r="I9" t="s">
        <v>45</v>
      </c>
      <c r="J9" s="2">
        <v>2</v>
      </c>
      <c r="K9" s="2">
        <v>1</v>
      </c>
      <c r="L9" s="2">
        <v>1</v>
      </c>
      <c r="M9" s="2">
        <v>1</v>
      </c>
      <c r="N9" s="2">
        <v>1</v>
      </c>
      <c r="O9" s="2">
        <v>1</v>
      </c>
      <c r="P9" s="2">
        <v>1</v>
      </c>
      <c r="Q9" s="2">
        <v>0</v>
      </c>
      <c r="S9" s="2"/>
      <c r="X9" t="s">
        <v>52</v>
      </c>
      <c r="Y9" t="s">
        <v>30</v>
      </c>
      <c r="Z9" t="s">
        <v>31</v>
      </c>
      <c r="AA9">
        <f t="shared" si="0"/>
        <v>6</v>
      </c>
    </row>
    <row r="10" spans="1:28" x14ac:dyDescent="0.25">
      <c r="A10">
        <v>9</v>
      </c>
      <c r="B10" s="1">
        <v>45778.362303240698</v>
      </c>
      <c r="C10" s="1">
        <v>45778.368055555598</v>
      </c>
      <c r="D10" t="s">
        <v>27</v>
      </c>
      <c r="E10" s="1"/>
      <c r="F10" s="2">
        <v>1</v>
      </c>
      <c r="G10" s="2">
        <v>24</v>
      </c>
      <c r="H10" t="s">
        <v>50</v>
      </c>
      <c r="I10" t="s">
        <v>53</v>
      </c>
      <c r="J10" s="2">
        <v>1</v>
      </c>
      <c r="K10" s="2">
        <v>1</v>
      </c>
      <c r="L10" s="2">
        <v>1</v>
      </c>
      <c r="M10" s="2">
        <v>1</v>
      </c>
      <c r="N10" s="2">
        <v>1</v>
      </c>
      <c r="O10" s="2">
        <v>1</v>
      </c>
      <c r="P10" s="2">
        <v>1</v>
      </c>
      <c r="Q10" s="2">
        <v>0</v>
      </c>
      <c r="S10" s="2"/>
      <c r="X10" t="s">
        <v>88</v>
      </c>
      <c r="Y10" t="s">
        <v>30</v>
      </c>
      <c r="Z10" t="s">
        <v>54</v>
      </c>
      <c r="AA10">
        <f t="shared" si="0"/>
        <v>6</v>
      </c>
    </row>
    <row r="11" spans="1:28" x14ac:dyDescent="0.25">
      <c r="A11">
        <v>10</v>
      </c>
      <c r="B11" s="1">
        <v>45778.384201388901</v>
      </c>
      <c r="C11" s="1">
        <v>45778.385381944398</v>
      </c>
      <c r="D11" t="s">
        <v>27</v>
      </c>
      <c r="E11" s="1"/>
      <c r="F11" s="2">
        <v>1</v>
      </c>
      <c r="G11" s="3">
        <v>20</v>
      </c>
      <c r="H11" t="s">
        <v>44</v>
      </c>
      <c r="I11" t="s">
        <v>45</v>
      </c>
      <c r="J11" s="2">
        <v>2</v>
      </c>
      <c r="K11" s="2">
        <v>1</v>
      </c>
      <c r="L11" s="2">
        <v>1</v>
      </c>
      <c r="M11" s="2">
        <v>1</v>
      </c>
      <c r="N11" s="2">
        <v>1</v>
      </c>
      <c r="O11" s="2">
        <v>1</v>
      </c>
      <c r="P11" s="2">
        <v>1</v>
      </c>
      <c r="Q11" s="2">
        <v>1</v>
      </c>
      <c r="R11" t="s">
        <v>46</v>
      </c>
      <c r="S11" s="3">
        <v>4</v>
      </c>
      <c r="T11" t="s">
        <v>55</v>
      </c>
      <c r="U11" t="s">
        <v>34</v>
      </c>
      <c r="V11" t="s">
        <v>48</v>
      </c>
      <c r="W11" t="s">
        <v>89</v>
      </c>
      <c r="AA11">
        <f t="shared" si="0"/>
        <v>6</v>
      </c>
      <c r="AB11" s="27" t="s">
        <v>119</v>
      </c>
    </row>
    <row r="12" spans="1:28" x14ac:dyDescent="0.25">
      <c r="A12">
        <v>11</v>
      </c>
      <c r="B12" s="1">
        <v>45778.555312500001</v>
      </c>
      <c r="C12" s="1">
        <v>45778.557268518503</v>
      </c>
      <c r="D12" t="s">
        <v>27</v>
      </c>
      <c r="E12" s="1"/>
      <c r="F12" s="2">
        <v>2</v>
      </c>
      <c r="G12" s="3">
        <v>20</v>
      </c>
      <c r="H12" t="s">
        <v>37</v>
      </c>
      <c r="I12" t="s">
        <v>39</v>
      </c>
      <c r="J12" s="2">
        <v>1</v>
      </c>
      <c r="K12" s="2">
        <v>0</v>
      </c>
      <c r="L12" s="2">
        <v>1</v>
      </c>
      <c r="M12" s="2">
        <v>0</v>
      </c>
      <c r="N12" s="2">
        <v>1</v>
      </c>
      <c r="O12" s="2">
        <v>1</v>
      </c>
      <c r="P12" s="2">
        <v>0</v>
      </c>
      <c r="Q12" s="2">
        <v>1</v>
      </c>
      <c r="R12" t="s">
        <v>56</v>
      </c>
      <c r="S12" s="3">
        <v>2</v>
      </c>
      <c r="T12" t="s">
        <v>57</v>
      </c>
      <c r="U12" t="s">
        <v>34</v>
      </c>
      <c r="V12" t="s">
        <v>58</v>
      </c>
      <c r="W12" t="s">
        <v>59</v>
      </c>
      <c r="AA12">
        <f t="shared" si="0"/>
        <v>3</v>
      </c>
      <c r="AB12" s="26" t="s">
        <v>119</v>
      </c>
    </row>
    <row r="13" spans="1:28" x14ac:dyDescent="0.25">
      <c r="A13">
        <v>12</v>
      </c>
      <c r="B13" s="1">
        <v>45778.558993055602</v>
      </c>
      <c r="C13" s="1">
        <v>45778.561180555596</v>
      </c>
      <c r="D13" t="s">
        <v>27</v>
      </c>
      <c r="E13" s="1"/>
      <c r="F13" s="2">
        <v>1</v>
      </c>
      <c r="G13" s="3">
        <v>21</v>
      </c>
      <c r="H13" t="s">
        <v>37</v>
      </c>
      <c r="I13" t="s">
        <v>53</v>
      </c>
      <c r="J13" s="2">
        <v>3</v>
      </c>
      <c r="K13" s="2">
        <v>0</v>
      </c>
      <c r="L13" s="2">
        <v>1</v>
      </c>
      <c r="M13" s="2">
        <v>0</v>
      </c>
      <c r="N13" s="2">
        <v>0</v>
      </c>
      <c r="O13" s="2">
        <v>0</v>
      </c>
      <c r="P13" s="2">
        <v>0</v>
      </c>
      <c r="Q13" s="2">
        <v>1</v>
      </c>
      <c r="R13" t="s">
        <v>46</v>
      </c>
      <c r="S13" s="3">
        <v>2</v>
      </c>
      <c r="T13" t="s">
        <v>40</v>
      </c>
      <c r="U13" t="s">
        <v>34</v>
      </c>
      <c r="V13" t="s">
        <v>48</v>
      </c>
      <c r="W13" t="s">
        <v>90</v>
      </c>
      <c r="AA13">
        <f t="shared" si="0"/>
        <v>1</v>
      </c>
      <c r="AB13" s="27" t="s">
        <v>119</v>
      </c>
    </row>
    <row r="14" spans="1:28" ht="12.95" customHeight="1" x14ac:dyDescent="0.25">
      <c r="A14">
        <v>13</v>
      </c>
      <c r="B14" s="1">
        <v>45778.581273148098</v>
      </c>
      <c r="C14" s="1">
        <v>45778.582210648099</v>
      </c>
      <c r="D14" t="s">
        <v>27</v>
      </c>
      <c r="E14" s="1"/>
      <c r="F14" s="2">
        <v>2</v>
      </c>
      <c r="G14" s="3">
        <v>19</v>
      </c>
      <c r="H14" t="s">
        <v>51</v>
      </c>
      <c r="I14" t="s">
        <v>39</v>
      </c>
      <c r="J14" s="2">
        <v>1</v>
      </c>
      <c r="K14" s="2">
        <v>1</v>
      </c>
      <c r="L14" s="2">
        <v>1</v>
      </c>
      <c r="M14" s="2">
        <v>0</v>
      </c>
      <c r="N14" s="2">
        <v>0</v>
      </c>
      <c r="O14" s="2">
        <v>1</v>
      </c>
      <c r="P14" s="2">
        <v>1</v>
      </c>
      <c r="Q14" s="2">
        <v>0</v>
      </c>
      <c r="S14" s="2"/>
      <c r="X14" t="s">
        <v>49</v>
      </c>
      <c r="Y14" t="s">
        <v>30</v>
      </c>
      <c r="Z14" t="s">
        <v>54</v>
      </c>
      <c r="AA14">
        <f t="shared" si="0"/>
        <v>4</v>
      </c>
    </row>
    <row r="15" spans="1:28" x14ac:dyDescent="0.25">
      <c r="A15">
        <v>14</v>
      </c>
      <c r="B15" s="1">
        <v>45778.596481481502</v>
      </c>
      <c r="C15" s="1">
        <v>45778.597453703696</v>
      </c>
      <c r="D15" t="s">
        <v>27</v>
      </c>
      <c r="E15" s="1"/>
      <c r="F15" s="2">
        <v>1</v>
      </c>
      <c r="G15" s="3">
        <v>22</v>
      </c>
      <c r="H15" t="s">
        <v>37</v>
      </c>
      <c r="I15" t="s">
        <v>97</v>
      </c>
      <c r="J15" s="2">
        <v>1</v>
      </c>
      <c r="K15" s="2">
        <v>1</v>
      </c>
      <c r="L15" s="2">
        <v>1</v>
      </c>
      <c r="M15" s="2">
        <v>1</v>
      </c>
      <c r="N15" s="2">
        <v>1</v>
      </c>
      <c r="O15" s="2">
        <v>1</v>
      </c>
      <c r="P15" s="2">
        <v>0</v>
      </c>
      <c r="Q15" s="2">
        <v>0</v>
      </c>
      <c r="S15" s="2"/>
      <c r="X15" t="s">
        <v>60</v>
      </c>
      <c r="Y15" t="s">
        <v>30</v>
      </c>
      <c r="Z15" t="s">
        <v>31</v>
      </c>
      <c r="AA15">
        <f t="shared" si="0"/>
        <v>5</v>
      </c>
    </row>
    <row r="16" spans="1:28" x14ac:dyDescent="0.25">
      <c r="A16">
        <v>15</v>
      </c>
      <c r="B16" s="1">
        <v>45778.596562500003</v>
      </c>
      <c r="C16" s="1">
        <v>45778.597696759301</v>
      </c>
      <c r="D16" t="s">
        <v>27</v>
      </c>
      <c r="E16" s="1"/>
      <c r="F16" s="2">
        <v>2</v>
      </c>
      <c r="G16" s="3">
        <v>22</v>
      </c>
      <c r="H16" t="s">
        <v>51</v>
      </c>
      <c r="I16" t="s">
        <v>53</v>
      </c>
      <c r="J16" s="2">
        <v>3</v>
      </c>
      <c r="K16" s="2">
        <v>1</v>
      </c>
      <c r="L16" s="2">
        <v>1</v>
      </c>
      <c r="M16" s="2">
        <v>0</v>
      </c>
      <c r="N16" s="2">
        <v>0</v>
      </c>
      <c r="O16" s="2">
        <v>0</v>
      </c>
      <c r="P16" s="2">
        <v>0</v>
      </c>
      <c r="Q16" s="2">
        <v>0</v>
      </c>
      <c r="S16" s="2"/>
      <c r="X16" t="s">
        <v>61</v>
      </c>
      <c r="Y16" t="s">
        <v>31</v>
      </c>
      <c r="Z16" t="s">
        <v>31</v>
      </c>
      <c r="AA16">
        <f t="shared" si="0"/>
        <v>2</v>
      </c>
    </row>
    <row r="17" spans="1:28" x14ac:dyDescent="0.25">
      <c r="A17">
        <v>16</v>
      </c>
      <c r="B17" s="1">
        <v>45778.605694444399</v>
      </c>
      <c r="C17" s="1">
        <v>45778.606458333299</v>
      </c>
      <c r="D17" t="s">
        <v>27</v>
      </c>
      <c r="E17" s="1"/>
      <c r="F17" s="2">
        <v>1</v>
      </c>
      <c r="G17" s="3">
        <v>23</v>
      </c>
      <c r="H17" t="s">
        <v>28</v>
      </c>
      <c r="I17" t="s">
        <v>53</v>
      </c>
      <c r="J17" s="2">
        <v>1</v>
      </c>
      <c r="K17" s="2">
        <v>1</v>
      </c>
      <c r="L17" s="2">
        <v>1</v>
      </c>
      <c r="M17" s="2">
        <v>1</v>
      </c>
      <c r="N17" s="2">
        <v>1</v>
      </c>
      <c r="O17" s="2">
        <v>1</v>
      </c>
      <c r="P17" s="2">
        <v>1</v>
      </c>
      <c r="Q17" s="2">
        <v>0</v>
      </c>
      <c r="S17" s="2"/>
      <c r="X17" t="s">
        <v>49</v>
      </c>
      <c r="Y17" t="s">
        <v>31</v>
      </c>
      <c r="Z17" t="s">
        <v>31</v>
      </c>
      <c r="AA17">
        <f t="shared" si="0"/>
        <v>6</v>
      </c>
    </row>
    <row r="18" spans="1:28" x14ac:dyDescent="0.25">
      <c r="A18">
        <v>17</v>
      </c>
      <c r="B18" s="1">
        <v>45778.627754629597</v>
      </c>
      <c r="C18" s="1">
        <v>45778.628796296303</v>
      </c>
      <c r="D18" t="s">
        <v>27</v>
      </c>
      <c r="E18" s="1"/>
      <c r="F18" s="2">
        <v>1</v>
      </c>
      <c r="G18" s="3">
        <v>23</v>
      </c>
      <c r="H18" t="s">
        <v>28</v>
      </c>
      <c r="I18" t="s">
        <v>45</v>
      </c>
      <c r="J18" s="2">
        <v>3</v>
      </c>
      <c r="K18" s="2">
        <v>0</v>
      </c>
      <c r="L18" s="2">
        <v>1</v>
      </c>
      <c r="M18" s="2">
        <v>0</v>
      </c>
      <c r="N18" s="2">
        <v>1</v>
      </c>
      <c r="O18" s="2">
        <v>1</v>
      </c>
      <c r="P18" s="2">
        <v>0</v>
      </c>
      <c r="Q18" s="2">
        <v>0</v>
      </c>
      <c r="S18" s="2"/>
      <c r="X18" t="s">
        <v>62</v>
      </c>
      <c r="Y18" t="s">
        <v>30</v>
      </c>
      <c r="Z18" t="s">
        <v>30</v>
      </c>
      <c r="AA18">
        <f t="shared" si="0"/>
        <v>3</v>
      </c>
    </row>
    <row r="19" spans="1:28" x14ac:dyDescent="0.25">
      <c r="A19">
        <v>18</v>
      </c>
      <c r="B19" s="1">
        <v>45778.6640162037</v>
      </c>
      <c r="C19" s="1">
        <v>45778.666030092601</v>
      </c>
      <c r="D19" t="s">
        <v>27</v>
      </c>
      <c r="E19" s="1"/>
      <c r="F19" s="2">
        <v>2</v>
      </c>
      <c r="G19" s="3">
        <v>19</v>
      </c>
      <c r="H19" t="s">
        <v>63</v>
      </c>
      <c r="I19" t="s">
        <v>39</v>
      </c>
      <c r="J19" s="2">
        <v>2</v>
      </c>
      <c r="K19" s="2">
        <v>1</v>
      </c>
      <c r="L19" s="2">
        <v>1</v>
      </c>
      <c r="M19" s="2">
        <v>0</v>
      </c>
      <c r="N19" s="2">
        <v>1</v>
      </c>
      <c r="O19" s="2">
        <v>1</v>
      </c>
      <c r="P19" s="2">
        <v>0</v>
      </c>
      <c r="Q19" s="2">
        <v>0</v>
      </c>
      <c r="S19" s="2"/>
      <c r="X19" t="s">
        <v>49</v>
      </c>
      <c r="Y19" t="s">
        <v>30</v>
      </c>
      <c r="Z19" t="s">
        <v>31</v>
      </c>
      <c r="AA19">
        <f t="shared" si="0"/>
        <v>4</v>
      </c>
    </row>
    <row r="20" spans="1:28" x14ac:dyDescent="0.25">
      <c r="A20">
        <v>19</v>
      </c>
      <c r="B20" s="1">
        <v>45778.758287037002</v>
      </c>
      <c r="C20" s="1">
        <v>45778.759398148097</v>
      </c>
      <c r="D20" t="s">
        <v>27</v>
      </c>
      <c r="E20" s="1"/>
      <c r="F20" s="2">
        <v>2</v>
      </c>
      <c r="G20" s="2">
        <v>23</v>
      </c>
      <c r="H20" t="s">
        <v>51</v>
      </c>
      <c r="I20" t="s">
        <v>29</v>
      </c>
      <c r="J20" s="2">
        <v>2</v>
      </c>
      <c r="K20" s="2">
        <v>1</v>
      </c>
      <c r="L20" s="2">
        <v>1</v>
      </c>
      <c r="M20" s="2">
        <v>0</v>
      </c>
      <c r="N20" s="2">
        <v>0</v>
      </c>
      <c r="O20" s="2">
        <v>1</v>
      </c>
      <c r="P20" s="2">
        <v>0</v>
      </c>
      <c r="Q20" s="2">
        <v>0</v>
      </c>
      <c r="S20" s="2"/>
      <c r="X20" t="s">
        <v>64</v>
      </c>
      <c r="Y20" t="s">
        <v>30</v>
      </c>
      <c r="Z20" t="s">
        <v>31</v>
      </c>
      <c r="AA20">
        <f t="shared" si="0"/>
        <v>3</v>
      </c>
    </row>
    <row r="21" spans="1:28" x14ac:dyDescent="0.25">
      <c r="A21">
        <v>20</v>
      </c>
      <c r="B21" s="1">
        <v>45778.795648148101</v>
      </c>
      <c r="C21" s="1">
        <v>45778.796689814801</v>
      </c>
      <c r="D21" t="s">
        <v>27</v>
      </c>
      <c r="E21" s="1"/>
      <c r="F21" s="2">
        <v>1</v>
      </c>
      <c r="G21" s="3">
        <v>19</v>
      </c>
      <c r="H21" t="s">
        <v>44</v>
      </c>
      <c r="I21" t="s">
        <v>53</v>
      </c>
      <c r="J21" s="2">
        <v>1</v>
      </c>
      <c r="K21" s="2">
        <v>1</v>
      </c>
      <c r="L21" s="2">
        <v>1</v>
      </c>
      <c r="M21" s="2">
        <v>1</v>
      </c>
      <c r="N21" s="2">
        <v>1</v>
      </c>
      <c r="O21" s="2">
        <v>1</v>
      </c>
      <c r="P21" s="2">
        <v>0</v>
      </c>
      <c r="Q21" s="2">
        <v>1</v>
      </c>
      <c r="R21" t="s">
        <v>46</v>
      </c>
      <c r="S21" s="3">
        <v>3</v>
      </c>
      <c r="T21" t="s">
        <v>65</v>
      </c>
      <c r="U21" t="s">
        <v>66</v>
      </c>
      <c r="V21" t="s">
        <v>58</v>
      </c>
      <c r="W21" t="s">
        <v>67</v>
      </c>
      <c r="AA21">
        <f t="shared" si="0"/>
        <v>5</v>
      </c>
      <c r="AB21" s="26" t="s">
        <v>120</v>
      </c>
    </row>
    <row r="22" spans="1:28" x14ac:dyDescent="0.25">
      <c r="A22">
        <v>21</v>
      </c>
      <c r="B22" s="1">
        <v>45778.827094907399</v>
      </c>
      <c r="C22" s="1">
        <v>45778.8278125</v>
      </c>
      <c r="D22" t="s">
        <v>27</v>
      </c>
      <c r="E22" s="1"/>
      <c r="F22" s="2">
        <v>3</v>
      </c>
      <c r="G22" s="3">
        <v>20</v>
      </c>
      <c r="H22" t="s">
        <v>50</v>
      </c>
      <c r="I22" t="s">
        <v>45</v>
      </c>
      <c r="J22" s="2">
        <v>1</v>
      </c>
      <c r="K22" s="2">
        <v>1</v>
      </c>
      <c r="L22" s="2">
        <v>1</v>
      </c>
      <c r="M22" s="2">
        <v>1</v>
      </c>
      <c r="N22" s="2">
        <v>1</v>
      </c>
      <c r="O22" s="2">
        <v>1</v>
      </c>
      <c r="P22" s="2">
        <v>0</v>
      </c>
      <c r="Q22" s="2">
        <v>1</v>
      </c>
      <c r="R22" t="s">
        <v>56</v>
      </c>
      <c r="S22" s="3">
        <v>0</v>
      </c>
      <c r="T22" t="s">
        <v>40</v>
      </c>
      <c r="U22" t="s">
        <v>41</v>
      </c>
      <c r="V22" t="s">
        <v>68</v>
      </c>
      <c r="W22" t="s">
        <v>69</v>
      </c>
      <c r="AA22">
        <f t="shared" si="0"/>
        <v>5</v>
      </c>
      <c r="AB22" s="27" t="s">
        <v>120</v>
      </c>
    </row>
    <row r="23" spans="1:28" x14ac:dyDescent="0.25">
      <c r="A23">
        <v>22</v>
      </c>
      <c r="B23" s="1">
        <v>45779.074618055602</v>
      </c>
      <c r="C23" s="1">
        <v>45779.076400462996</v>
      </c>
      <c r="D23" t="s">
        <v>27</v>
      </c>
      <c r="E23" s="1"/>
      <c r="F23" s="2">
        <v>1</v>
      </c>
      <c r="G23" s="3">
        <v>22</v>
      </c>
      <c r="H23" t="s">
        <v>63</v>
      </c>
      <c r="I23" t="s">
        <v>29</v>
      </c>
      <c r="J23" s="2">
        <v>1</v>
      </c>
      <c r="K23" s="2">
        <v>1</v>
      </c>
      <c r="L23" s="2">
        <v>1</v>
      </c>
      <c r="M23" s="2">
        <v>1</v>
      </c>
      <c r="N23" s="2">
        <v>1</v>
      </c>
      <c r="O23" s="2">
        <v>1</v>
      </c>
      <c r="P23" s="2">
        <v>1</v>
      </c>
      <c r="Q23" s="2">
        <v>0</v>
      </c>
      <c r="S23" s="2"/>
      <c r="X23" t="s">
        <v>91</v>
      </c>
      <c r="Y23" t="s">
        <v>31</v>
      </c>
      <c r="Z23" t="s">
        <v>54</v>
      </c>
      <c r="AA23">
        <f t="shared" si="0"/>
        <v>6</v>
      </c>
    </row>
    <row r="24" spans="1:28" x14ac:dyDescent="0.25">
      <c r="A24">
        <v>23</v>
      </c>
      <c r="B24" s="1">
        <v>45779.790844907402</v>
      </c>
      <c r="C24" s="1">
        <v>45779.793599536999</v>
      </c>
      <c r="D24" t="s">
        <v>27</v>
      </c>
      <c r="E24" s="1"/>
      <c r="F24" s="2">
        <v>2</v>
      </c>
      <c r="G24" s="3">
        <v>19</v>
      </c>
      <c r="H24" t="s">
        <v>63</v>
      </c>
      <c r="I24" t="s">
        <v>53</v>
      </c>
      <c r="J24" s="2">
        <v>2</v>
      </c>
      <c r="K24" s="2">
        <v>1</v>
      </c>
      <c r="L24" s="2">
        <v>1</v>
      </c>
      <c r="M24" s="2">
        <v>1</v>
      </c>
      <c r="N24" s="2">
        <v>1</v>
      </c>
      <c r="O24" s="2">
        <v>1</v>
      </c>
      <c r="P24" s="2">
        <v>0</v>
      </c>
      <c r="Q24" s="2">
        <v>0</v>
      </c>
      <c r="S24" s="2"/>
      <c r="X24" t="s">
        <v>70</v>
      </c>
      <c r="Y24" t="s">
        <v>30</v>
      </c>
      <c r="Z24" t="s">
        <v>31</v>
      </c>
      <c r="AA24">
        <f t="shared" si="0"/>
        <v>5</v>
      </c>
    </row>
    <row r="25" spans="1:28" x14ac:dyDescent="0.25">
      <c r="A25">
        <v>24</v>
      </c>
      <c r="B25" s="1">
        <v>45780.157893518503</v>
      </c>
      <c r="C25" s="1">
        <v>45780.159259259301</v>
      </c>
      <c r="D25" t="s">
        <v>27</v>
      </c>
      <c r="E25" s="1"/>
      <c r="F25" s="2">
        <v>1</v>
      </c>
      <c r="G25" s="3">
        <v>19</v>
      </c>
      <c r="H25" t="s">
        <v>38</v>
      </c>
      <c r="I25" t="s">
        <v>53</v>
      </c>
      <c r="J25" s="2">
        <v>2</v>
      </c>
      <c r="K25" s="2">
        <v>0</v>
      </c>
      <c r="L25" s="2">
        <v>1</v>
      </c>
      <c r="M25" s="2">
        <v>0</v>
      </c>
      <c r="N25" s="2">
        <v>1</v>
      </c>
      <c r="O25" s="2">
        <v>1</v>
      </c>
      <c r="P25" s="2">
        <v>0</v>
      </c>
      <c r="Q25" s="2">
        <v>0</v>
      </c>
      <c r="S25" s="2"/>
      <c r="X25" t="s">
        <v>92</v>
      </c>
      <c r="Y25" t="s">
        <v>31</v>
      </c>
      <c r="Z25" t="s">
        <v>30</v>
      </c>
      <c r="AA25">
        <f t="shared" si="0"/>
        <v>3</v>
      </c>
    </row>
    <row r="26" spans="1:28" x14ac:dyDescent="0.25">
      <c r="A26">
        <v>25</v>
      </c>
      <c r="B26" s="1">
        <v>45780.161226851902</v>
      </c>
      <c r="C26" s="1">
        <v>45780.165462962999</v>
      </c>
      <c r="D26" t="s">
        <v>27</v>
      </c>
      <c r="E26" s="1"/>
      <c r="F26" s="2">
        <v>2</v>
      </c>
      <c r="G26" s="3">
        <v>22</v>
      </c>
      <c r="H26" t="s">
        <v>63</v>
      </c>
      <c r="I26" t="s">
        <v>97</v>
      </c>
      <c r="J26" s="2">
        <v>1</v>
      </c>
      <c r="K26" s="2">
        <v>1</v>
      </c>
      <c r="L26" s="2">
        <v>1</v>
      </c>
      <c r="M26" s="2">
        <v>1</v>
      </c>
      <c r="N26" s="2">
        <v>1</v>
      </c>
      <c r="O26" s="2">
        <v>1</v>
      </c>
      <c r="P26" s="2">
        <v>0</v>
      </c>
      <c r="Q26" s="2">
        <v>0</v>
      </c>
      <c r="S26" s="2"/>
      <c r="X26" t="s">
        <v>93</v>
      </c>
      <c r="Y26" t="s">
        <v>30</v>
      </c>
      <c r="Z26" t="s">
        <v>31</v>
      </c>
      <c r="AA26">
        <f t="shared" si="0"/>
        <v>5</v>
      </c>
    </row>
    <row r="27" spans="1:28" x14ac:dyDescent="0.25">
      <c r="A27">
        <v>26</v>
      </c>
      <c r="B27" s="1">
        <v>45780.530497685198</v>
      </c>
      <c r="C27" s="1">
        <v>45780.531307870398</v>
      </c>
      <c r="D27" t="s">
        <v>27</v>
      </c>
      <c r="E27" s="1"/>
      <c r="F27" s="2">
        <v>1</v>
      </c>
      <c r="G27" s="3">
        <v>20</v>
      </c>
      <c r="H27" t="s">
        <v>38</v>
      </c>
      <c r="I27" t="s">
        <v>53</v>
      </c>
      <c r="J27" s="2">
        <v>3</v>
      </c>
      <c r="K27" s="2">
        <v>0</v>
      </c>
      <c r="L27" s="2">
        <v>1</v>
      </c>
      <c r="M27" s="2">
        <v>0</v>
      </c>
      <c r="N27" s="2">
        <v>0</v>
      </c>
      <c r="O27" s="2">
        <v>1</v>
      </c>
      <c r="P27" s="2">
        <v>0</v>
      </c>
      <c r="Q27" s="2">
        <v>0</v>
      </c>
      <c r="S27" s="2"/>
      <c r="X27" t="s">
        <v>49</v>
      </c>
      <c r="Y27" t="s">
        <v>31</v>
      </c>
      <c r="Z27" t="s">
        <v>31</v>
      </c>
      <c r="AA27">
        <f t="shared" si="0"/>
        <v>2</v>
      </c>
    </row>
    <row r="28" spans="1:28" x14ac:dyDescent="0.25">
      <c r="A28">
        <v>27</v>
      </c>
      <c r="B28" s="1">
        <v>45781.020879629599</v>
      </c>
      <c r="C28" s="1">
        <v>45781.022881944402</v>
      </c>
      <c r="D28" t="s">
        <v>27</v>
      </c>
      <c r="E28" s="1"/>
      <c r="F28" s="2">
        <v>1</v>
      </c>
      <c r="G28" s="3">
        <v>19</v>
      </c>
      <c r="H28" t="s">
        <v>63</v>
      </c>
      <c r="I28" t="s">
        <v>45</v>
      </c>
      <c r="J28" s="2">
        <v>2</v>
      </c>
      <c r="K28" s="2">
        <v>0</v>
      </c>
      <c r="L28" s="2">
        <v>1</v>
      </c>
      <c r="M28" s="2">
        <v>0</v>
      </c>
      <c r="N28" s="2">
        <v>0</v>
      </c>
      <c r="O28" s="2">
        <v>1</v>
      </c>
      <c r="P28" s="2">
        <v>0</v>
      </c>
      <c r="Q28" s="2">
        <v>1</v>
      </c>
      <c r="R28" t="s">
        <v>46</v>
      </c>
      <c r="S28" s="3">
        <v>6</v>
      </c>
      <c r="T28" t="s">
        <v>47</v>
      </c>
      <c r="U28" t="s">
        <v>66</v>
      </c>
      <c r="V28" t="s">
        <v>48</v>
      </c>
      <c r="W28" t="s">
        <v>59</v>
      </c>
      <c r="AA28">
        <f t="shared" si="0"/>
        <v>2</v>
      </c>
      <c r="AB28" s="26" t="s">
        <v>120</v>
      </c>
    </row>
    <row r="29" spans="1:28" x14ac:dyDescent="0.25">
      <c r="A29">
        <v>28</v>
      </c>
      <c r="B29" s="1">
        <v>45781.037199074097</v>
      </c>
      <c r="C29" s="1">
        <v>45781.038101851896</v>
      </c>
      <c r="D29" t="s">
        <v>27</v>
      </c>
      <c r="E29" s="1"/>
      <c r="F29" s="2">
        <v>2</v>
      </c>
      <c r="G29" s="3">
        <v>20</v>
      </c>
      <c r="H29" t="s">
        <v>28</v>
      </c>
      <c r="I29" t="s">
        <v>39</v>
      </c>
      <c r="J29" s="2">
        <v>2</v>
      </c>
      <c r="K29" s="2">
        <v>1</v>
      </c>
      <c r="L29" s="2">
        <v>1</v>
      </c>
      <c r="M29" s="2">
        <v>0</v>
      </c>
      <c r="N29" s="2">
        <v>1</v>
      </c>
      <c r="O29" s="2">
        <v>1</v>
      </c>
      <c r="P29" s="2">
        <v>0</v>
      </c>
      <c r="Q29" s="2">
        <v>1</v>
      </c>
      <c r="R29" t="s">
        <v>56</v>
      </c>
      <c r="S29" s="2">
        <v>1</v>
      </c>
      <c r="T29" t="s">
        <v>40</v>
      </c>
      <c r="U29" t="s">
        <v>66</v>
      </c>
      <c r="V29" t="s">
        <v>48</v>
      </c>
      <c r="W29" t="s">
        <v>59</v>
      </c>
      <c r="AA29">
        <f t="shared" si="0"/>
        <v>4</v>
      </c>
      <c r="AB29" s="27" t="s">
        <v>119</v>
      </c>
    </row>
    <row r="30" spans="1:28" x14ac:dyDescent="0.25">
      <c r="A30" s="13">
        <v>29</v>
      </c>
      <c r="B30" s="14">
        <v>45781.020879629599</v>
      </c>
      <c r="C30" s="14">
        <v>45781.022881944402</v>
      </c>
      <c r="D30" s="15" t="s">
        <v>27</v>
      </c>
      <c r="E30" s="14"/>
      <c r="F30" s="16">
        <v>1</v>
      </c>
      <c r="G30" s="17">
        <v>20</v>
      </c>
      <c r="H30" t="s">
        <v>37</v>
      </c>
      <c r="I30" s="15" t="s">
        <v>39</v>
      </c>
      <c r="J30" s="16">
        <v>2</v>
      </c>
      <c r="K30" s="16">
        <v>0</v>
      </c>
      <c r="L30" s="16">
        <v>1</v>
      </c>
      <c r="M30" s="16">
        <v>0</v>
      </c>
      <c r="N30" s="16">
        <v>0</v>
      </c>
      <c r="O30" s="16">
        <v>1</v>
      </c>
      <c r="P30" s="16">
        <v>0</v>
      </c>
      <c r="Q30" s="16">
        <v>1</v>
      </c>
      <c r="R30" s="15" t="s">
        <v>141</v>
      </c>
      <c r="S30" s="17">
        <v>1</v>
      </c>
      <c r="T30" s="15" t="s">
        <v>47</v>
      </c>
      <c r="U30" s="15" t="s">
        <v>66</v>
      </c>
      <c r="V30" s="15" t="s">
        <v>42</v>
      </c>
      <c r="W30" s="15" t="s">
        <v>94</v>
      </c>
      <c r="X30" s="15"/>
      <c r="Y30" s="15"/>
      <c r="Z30" s="15"/>
      <c r="AA30">
        <f t="shared" si="0"/>
        <v>2</v>
      </c>
      <c r="AB30" s="26" t="s">
        <v>119</v>
      </c>
    </row>
    <row r="31" spans="1:28" x14ac:dyDescent="0.25">
      <c r="A31">
        <v>30</v>
      </c>
      <c r="B31" s="18" t="s">
        <v>98</v>
      </c>
      <c r="C31" s="18" t="s">
        <v>99</v>
      </c>
      <c r="D31" t="s">
        <v>27</v>
      </c>
      <c r="E31" s="1"/>
      <c r="F31" s="2">
        <v>2</v>
      </c>
      <c r="G31" s="2">
        <v>22</v>
      </c>
      <c r="H31" t="s">
        <v>28</v>
      </c>
      <c r="I31" t="s">
        <v>39</v>
      </c>
      <c r="J31" s="2">
        <v>1</v>
      </c>
      <c r="K31" s="2">
        <v>1</v>
      </c>
      <c r="L31" s="2">
        <v>1</v>
      </c>
      <c r="M31" s="2">
        <v>0</v>
      </c>
      <c r="N31" s="2">
        <v>1</v>
      </c>
      <c r="O31" s="2">
        <v>1</v>
      </c>
      <c r="P31" s="2">
        <v>1</v>
      </c>
      <c r="Q31" s="2">
        <v>0</v>
      </c>
      <c r="S31" s="2"/>
      <c r="X31" t="s">
        <v>95</v>
      </c>
      <c r="Y31" t="s">
        <v>30</v>
      </c>
      <c r="Z31" t="s">
        <v>54</v>
      </c>
      <c r="AA31">
        <f t="shared" si="0"/>
        <v>5</v>
      </c>
    </row>
    <row r="32" spans="1:28" x14ac:dyDescent="0.25">
      <c r="A32">
        <v>31</v>
      </c>
      <c r="B32" s="18" t="s">
        <v>100</v>
      </c>
      <c r="C32" s="18" t="s">
        <v>101</v>
      </c>
      <c r="D32" t="s">
        <v>27</v>
      </c>
      <c r="E32" s="1"/>
      <c r="F32" s="2">
        <v>1</v>
      </c>
      <c r="G32" s="2">
        <v>19</v>
      </c>
      <c r="H32" t="s">
        <v>37</v>
      </c>
      <c r="I32" t="s">
        <v>39</v>
      </c>
      <c r="J32" s="2">
        <v>1</v>
      </c>
      <c r="K32" s="2">
        <v>1</v>
      </c>
      <c r="L32" s="2">
        <v>1</v>
      </c>
      <c r="M32" s="2">
        <v>0</v>
      </c>
      <c r="N32" s="2">
        <v>1</v>
      </c>
      <c r="O32" s="2">
        <v>1</v>
      </c>
      <c r="P32" s="2">
        <v>0</v>
      </c>
      <c r="Q32" s="2">
        <v>0</v>
      </c>
      <c r="S32" s="2"/>
      <c r="X32" t="s">
        <v>96</v>
      </c>
      <c r="Y32" t="s">
        <v>31</v>
      </c>
      <c r="Z32" t="s">
        <v>54</v>
      </c>
      <c r="AA32">
        <f t="shared" si="0"/>
        <v>4</v>
      </c>
    </row>
    <row r="34" spans="1:11" ht="23.25" x14ac:dyDescent="0.35">
      <c r="A34" s="28" t="s">
        <v>124</v>
      </c>
    </row>
    <row r="35" spans="1:11" ht="23.25" x14ac:dyDescent="0.35">
      <c r="A35" s="28" t="s">
        <v>125</v>
      </c>
    </row>
    <row r="37" spans="1:11" x14ac:dyDescent="0.25">
      <c r="H37" s="9" t="s">
        <v>72</v>
      </c>
      <c r="I37" s="9" t="s">
        <v>73</v>
      </c>
    </row>
    <row r="38" spans="1:11" x14ac:dyDescent="0.25">
      <c r="H38" s="9" t="s">
        <v>75</v>
      </c>
      <c r="I38">
        <v>0</v>
      </c>
      <c r="J38">
        <v>1</v>
      </c>
      <c r="K38" t="s">
        <v>74</v>
      </c>
    </row>
    <row r="39" spans="1:11" x14ac:dyDescent="0.25">
      <c r="E39" s="9" t="s">
        <v>75</v>
      </c>
      <c r="F39" t="s">
        <v>152</v>
      </c>
      <c r="H39" s="2" t="s">
        <v>37</v>
      </c>
      <c r="I39" s="29">
        <v>2</v>
      </c>
      <c r="J39" s="29">
        <v>2</v>
      </c>
      <c r="K39" s="29">
        <v>4</v>
      </c>
    </row>
    <row r="40" spans="1:11" x14ac:dyDescent="0.25">
      <c r="E40" s="2">
        <v>1</v>
      </c>
      <c r="F40" s="29">
        <v>15</v>
      </c>
      <c r="H40" s="2" t="s">
        <v>51</v>
      </c>
      <c r="I40" s="29">
        <v>4</v>
      </c>
      <c r="J40" s="29"/>
      <c r="K40" s="29">
        <v>4</v>
      </c>
    </row>
    <row r="41" spans="1:11" x14ac:dyDescent="0.25">
      <c r="E41" s="2">
        <v>2</v>
      </c>
      <c r="F41" s="29">
        <v>14</v>
      </c>
      <c r="H41" s="2" t="s">
        <v>63</v>
      </c>
      <c r="I41" s="29">
        <v>4</v>
      </c>
      <c r="J41" s="29">
        <v>2</v>
      </c>
      <c r="K41" s="29">
        <v>6</v>
      </c>
    </row>
    <row r="42" spans="1:11" x14ac:dyDescent="0.25">
      <c r="E42" s="2">
        <v>3</v>
      </c>
      <c r="F42" s="29">
        <v>1</v>
      </c>
      <c r="H42" s="2" t="s">
        <v>38</v>
      </c>
      <c r="I42" s="29">
        <v>2</v>
      </c>
      <c r="J42" s="29">
        <v>1</v>
      </c>
      <c r="K42" s="29">
        <v>3</v>
      </c>
    </row>
    <row r="43" spans="1:11" x14ac:dyDescent="0.25">
      <c r="E43" s="2" t="s">
        <v>74</v>
      </c>
      <c r="F43" s="29">
        <v>30</v>
      </c>
      <c r="H43" s="2" t="s">
        <v>44</v>
      </c>
      <c r="I43" s="29">
        <v>2</v>
      </c>
      <c r="J43" s="29">
        <v>2</v>
      </c>
      <c r="K43" s="29">
        <v>4</v>
      </c>
    </row>
    <row r="44" spans="1:11" x14ac:dyDescent="0.25">
      <c r="H44" s="2" t="s">
        <v>28</v>
      </c>
      <c r="I44" s="29">
        <v>2</v>
      </c>
      <c r="J44" s="29">
        <v>3</v>
      </c>
      <c r="K44" s="29">
        <v>5</v>
      </c>
    </row>
    <row r="45" spans="1:11" x14ac:dyDescent="0.25">
      <c r="H45" s="2" t="s">
        <v>50</v>
      </c>
      <c r="I45" s="29">
        <v>2</v>
      </c>
      <c r="J45" s="29">
        <v>1</v>
      </c>
      <c r="K45" s="29">
        <v>3</v>
      </c>
    </row>
    <row r="46" spans="1:11" x14ac:dyDescent="0.25">
      <c r="H46" s="2" t="s">
        <v>74</v>
      </c>
      <c r="I46" s="29">
        <v>18</v>
      </c>
      <c r="J46" s="29">
        <v>11</v>
      </c>
      <c r="K46" s="29">
        <v>29</v>
      </c>
    </row>
    <row r="55" spans="5:5" x14ac:dyDescent="0.25">
      <c r="E55" t="s">
        <v>157</v>
      </c>
    </row>
    <row r="56" spans="5:5" x14ac:dyDescent="0.25">
      <c r="E56" s="29">
        <v>29</v>
      </c>
    </row>
  </sheetData>
  <phoneticPr fontId="2" type="noConversion"/>
  <pageMargins left="0.7" right="0.7" top="0.75" bottom="0.75" header="0.3" footer="0.3"/>
  <pageSetup paperSize="9" orientation="portrait" r:id="rId4"/>
  <legacyDrawing r:id="rId5"/>
  <tableParts count="1">
    <tablePart r:id="rId6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9612E6-94B4-6844-83AF-D156B4409A1C}">
  <dimension ref="A1:G72"/>
  <sheetViews>
    <sheetView topLeftCell="A26" workbookViewId="0">
      <selection activeCell="A68" sqref="A68"/>
    </sheetView>
  </sheetViews>
  <sheetFormatPr defaultColWidth="11.42578125" defaultRowHeight="15" x14ac:dyDescent="0.25"/>
  <cols>
    <col min="1" max="1" width="12.140625" bestFit="1" customWidth="1"/>
    <col min="2" max="2" width="24.42578125" bestFit="1" customWidth="1"/>
  </cols>
  <sheetData>
    <row r="1" spans="1:2" x14ac:dyDescent="0.25">
      <c r="A1" s="9" t="s">
        <v>75</v>
      </c>
      <c r="B1" t="s">
        <v>134</v>
      </c>
    </row>
    <row r="2" spans="1:2" x14ac:dyDescent="0.25">
      <c r="A2" s="2" t="s">
        <v>131</v>
      </c>
      <c r="B2" s="10">
        <v>0.72413793103448276</v>
      </c>
    </row>
    <row r="3" spans="1:2" x14ac:dyDescent="0.25">
      <c r="A3" s="2" t="s">
        <v>132</v>
      </c>
      <c r="B3" s="10">
        <v>0.20689655172413793</v>
      </c>
    </row>
    <row r="4" spans="1:2" x14ac:dyDescent="0.25">
      <c r="A4" s="2" t="s">
        <v>133</v>
      </c>
      <c r="B4" s="10">
        <v>6.8965517241379309E-2</v>
      </c>
    </row>
    <row r="5" spans="1:2" x14ac:dyDescent="0.25">
      <c r="A5" s="2" t="s">
        <v>74</v>
      </c>
      <c r="B5" s="10">
        <v>1</v>
      </c>
    </row>
    <row r="14" spans="1:2" x14ac:dyDescent="0.25">
      <c r="A14" s="9" t="s">
        <v>75</v>
      </c>
      <c r="B14" t="s">
        <v>135</v>
      </c>
    </row>
    <row r="15" spans="1:2" x14ac:dyDescent="0.25">
      <c r="A15" s="2" t="s">
        <v>37</v>
      </c>
      <c r="B15" s="10">
        <v>0.12903225806451613</v>
      </c>
    </row>
    <row r="16" spans="1:2" x14ac:dyDescent="0.25">
      <c r="A16" s="2" t="s">
        <v>51</v>
      </c>
      <c r="B16" s="10">
        <v>0.12903225806451613</v>
      </c>
    </row>
    <row r="17" spans="1:2" x14ac:dyDescent="0.25">
      <c r="A17" s="2" t="s">
        <v>63</v>
      </c>
      <c r="B17" s="10">
        <v>0.19354838709677419</v>
      </c>
    </row>
    <row r="18" spans="1:2" x14ac:dyDescent="0.25">
      <c r="A18" s="2" t="s">
        <v>38</v>
      </c>
      <c r="B18" s="10">
        <v>9.6774193548387094E-2</v>
      </c>
    </row>
    <row r="19" spans="1:2" x14ac:dyDescent="0.25">
      <c r="A19" s="2" t="s">
        <v>44</v>
      </c>
      <c r="B19" s="10">
        <v>0.12903225806451613</v>
      </c>
    </row>
    <row r="20" spans="1:2" x14ac:dyDescent="0.25">
      <c r="A20" s="2" t="s">
        <v>28</v>
      </c>
      <c r="B20" s="10">
        <v>0.22580645161290322</v>
      </c>
    </row>
    <row r="21" spans="1:2" x14ac:dyDescent="0.25">
      <c r="A21" s="2" t="s">
        <v>50</v>
      </c>
      <c r="B21" s="10">
        <v>9.6774193548387094E-2</v>
      </c>
    </row>
    <row r="22" spans="1:2" x14ac:dyDescent="0.25">
      <c r="A22" s="2" t="s">
        <v>74</v>
      </c>
      <c r="B22" s="10">
        <v>1</v>
      </c>
    </row>
    <row r="26" spans="1:2" x14ac:dyDescent="0.25">
      <c r="A26" s="9" t="s">
        <v>75</v>
      </c>
      <c r="B26" t="s">
        <v>136</v>
      </c>
    </row>
    <row r="27" spans="1:2" x14ac:dyDescent="0.25">
      <c r="A27" s="2" t="s">
        <v>53</v>
      </c>
      <c r="B27" s="10">
        <v>0.25806451612903225</v>
      </c>
    </row>
    <row r="28" spans="1:2" x14ac:dyDescent="0.25">
      <c r="A28" s="2" t="s">
        <v>39</v>
      </c>
      <c r="B28" s="10">
        <v>0.35483870967741937</v>
      </c>
    </row>
    <row r="29" spans="1:2" x14ac:dyDescent="0.25">
      <c r="A29" s="2" t="s">
        <v>45</v>
      </c>
      <c r="B29" s="10">
        <v>0.19354838709677419</v>
      </c>
    </row>
    <row r="30" spans="1:2" x14ac:dyDescent="0.25">
      <c r="A30" s="2" t="s">
        <v>97</v>
      </c>
      <c r="B30" s="10">
        <v>6.4516129032258063E-2</v>
      </c>
    </row>
    <row r="31" spans="1:2" x14ac:dyDescent="0.25">
      <c r="A31" s="2" t="s">
        <v>29</v>
      </c>
      <c r="B31" s="10">
        <v>0.12903225806451613</v>
      </c>
    </row>
    <row r="32" spans="1:2" x14ac:dyDescent="0.25">
      <c r="A32" s="2" t="s">
        <v>74</v>
      </c>
      <c r="B32" s="10">
        <v>1</v>
      </c>
    </row>
    <row r="34" spans="1:7" x14ac:dyDescent="0.25">
      <c r="A34" s="9" t="s">
        <v>75</v>
      </c>
      <c r="B34" t="s">
        <v>72</v>
      </c>
    </row>
    <row r="35" spans="1:7" x14ac:dyDescent="0.25">
      <c r="A35" s="2" t="s">
        <v>150</v>
      </c>
      <c r="B35" s="10">
        <v>0.64516129032258063</v>
      </c>
    </row>
    <row r="36" spans="1:7" x14ac:dyDescent="0.25">
      <c r="A36" s="2" t="s">
        <v>151</v>
      </c>
      <c r="B36" s="10">
        <v>0.35483870967741937</v>
      </c>
    </row>
    <row r="37" spans="1:7" x14ac:dyDescent="0.25">
      <c r="A37" s="2" t="s">
        <v>74</v>
      </c>
      <c r="B37" s="10">
        <v>1</v>
      </c>
    </row>
    <row r="43" spans="1:7" x14ac:dyDescent="0.25">
      <c r="A43" t="s">
        <v>142</v>
      </c>
    </row>
    <row r="44" spans="1:7" x14ac:dyDescent="0.25">
      <c r="A44" s="9" t="s">
        <v>75</v>
      </c>
      <c r="B44" s="9" t="s">
        <v>143</v>
      </c>
      <c r="C44" t="s">
        <v>144</v>
      </c>
      <c r="D44" t="s">
        <v>145</v>
      </c>
      <c r="E44" t="s">
        <v>146</v>
      </c>
      <c r="F44" t="s">
        <v>147</v>
      </c>
      <c r="G44" t="s">
        <v>148</v>
      </c>
    </row>
    <row r="45" spans="1:7" x14ac:dyDescent="0.25">
      <c r="A45" s="2" t="s">
        <v>117</v>
      </c>
      <c r="B45">
        <v>10</v>
      </c>
      <c r="C45">
        <v>14</v>
      </c>
      <c r="D45">
        <v>4</v>
      </c>
      <c r="E45">
        <v>10</v>
      </c>
      <c r="F45">
        <v>13</v>
      </c>
      <c r="G45">
        <v>3</v>
      </c>
    </row>
    <row r="46" spans="1:7" x14ac:dyDescent="0.25">
      <c r="A46" s="2" t="s">
        <v>79</v>
      </c>
      <c r="B46">
        <v>9</v>
      </c>
      <c r="C46">
        <v>16</v>
      </c>
      <c r="D46">
        <v>7</v>
      </c>
      <c r="E46">
        <v>13</v>
      </c>
      <c r="F46">
        <v>15</v>
      </c>
      <c r="G46">
        <v>5</v>
      </c>
    </row>
    <row r="47" spans="1:7" x14ac:dyDescent="0.25">
      <c r="A47" s="2" t="s">
        <v>149</v>
      </c>
      <c r="B47">
        <v>1</v>
      </c>
      <c r="C47">
        <v>1</v>
      </c>
      <c r="D47">
        <v>1</v>
      </c>
      <c r="E47">
        <v>1</v>
      </c>
      <c r="F47">
        <v>1</v>
      </c>
      <c r="G47">
        <v>0</v>
      </c>
    </row>
    <row r="48" spans="1:7" x14ac:dyDescent="0.25">
      <c r="A48" s="2" t="s">
        <v>74</v>
      </c>
      <c r="B48">
        <v>20</v>
      </c>
      <c r="C48">
        <v>31</v>
      </c>
      <c r="D48">
        <v>12</v>
      </c>
      <c r="E48">
        <v>24</v>
      </c>
      <c r="F48">
        <v>29</v>
      </c>
      <c r="G48">
        <v>8</v>
      </c>
    </row>
    <row r="51" spans="6:6" x14ac:dyDescent="0.25">
      <c r="F51" s="2"/>
    </row>
    <row r="68" spans="1:2" x14ac:dyDescent="0.25">
      <c r="A68" s="9" t="s">
        <v>75</v>
      </c>
      <c r="B68" t="s">
        <v>80</v>
      </c>
    </row>
    <row r="69" spans="1:2" x14ac:dyDescent="0.25">
      <c r="A69" s="2" t="s">
        <v>79</v>
      </c>
      <c r="B69" s="29">
        <v>14</v>
      </c>
    </row>
    <row r="70" spans="1:2" x14ac:dyDescent="0.25">
      <c r="A70" s="2" t="s">
        <v>117</v>
      </c>
      <c r="B70" s="29">
        <v>14</v>
      </c>
    </row>
    <row r="71" spans="1:2" x14ac:dyDescent="0.25">
      <c r="A71" s="2">
        <v>3</v>
      </c>
      <c r="B71" s="29">
        <v>1</v>
      </c>
    </row>
    <row r="72" spans="1:2" x14ac:dyDescent="0.25">
      <c r="A72" s="2" t="s">
        <v>74</v>
      </c>
      <c r="B72" s="29">
        <v>29</v>
      </c>
    </row>
  </sheetData>
  <pageMargins left="0.7" right="0.7" top="0.75" bottom="0.75" header="0.3" footer="0.3"/>
  <drawing r:id="rId7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CD1266-71C2-584D-B3A0-B48649D1AC69}">
  <dimension ref="A1:E81"/>
  <sheetViews>
    <sheetView topLeftCell="A77" workbookViewId="0">
      <selection activeCell="A66" sqref="A66"/>
    </sheetView>
  </sheetViews>
  <sheetFormatPr defaultColWidth="11.42578125" defaultRowHeight="15" x14ac:dyDescent="0.25"/>
  <cols>
    <col min="1" max="1" width="38.42578125" bestFit="1" customWidth="1"/>
    <col min="2" max="2" width="14.85546875" bestFit="1" customWidth="1"/>
    <col min="3" max="3" width="7" bestFit="1" customWidth="1"/>
    <col min="4" max="5" width="10" bestFit="1" customWidth="1"/>
    <col min="6" max="6" width="10.42578125" bestFit="1" customWidth="1"/>
    <col min="7" max="7" width="7.7109375" bestFit="1" customWidth="1"/>
    <col min="8" max="8" width="33.28515625" bestFit="1" customWidth="1"/>
    <col min="9" max="9" width="27.85546875" bestFit="1" customWidth="1"/>
  </cols>
  <sheetData>
    <row r="1" spans="1:2" x14ac:dyDescent="0.25">
      <c r="A1" s="9" t="s">
        <v>75</v>
      </c>
      <c r="B1" t="s">
        <v>72</v>
      </c>
    </row>
    <row r="2" spans="1:2" x14ac:dyDescent="0.25">
      <c r="A2" s="2" t="s">
        <v>31</v>
      </c>
      <c r="B2">
        <v>18</v>
      </c>
    </row>
    <row r="3" spans="1:2" x14ac:dyDescent="0.25">
      <c r="A3" s="2" t="s">
        <v>30</v>
      </c>
      <c r="B3">
        <v>11</v>
      </c>
    </row>
    <row r="4" spans="1:2" x14ac:dyDescent="0.25">
      <c r="A4" s="2" t="s">
        <v>74</v>
      </c>
      <c r="B4">
        <v>29</v>
      </c>
    </row>
    <row r="18" spans="1:4" x14ac:dyDescent="0.25">
      <c r="A18" s="9" t="s">
        <v>72</v>
      </c>
      <c r="B18" s="9" t="s">
        <v>73</v>
      </c>
    </row>
    <row r="19" spans="1:4" x14ac:dyDescent="0.25">
      <c r="A19" s="9" t="s">
        <v>76</v>
      </c>
      <c r="B19" t="s">
        <v>31</v>
      </c>
      <c r="C19" t="s">
        <v>30</v>
      </c>
      <c r="D19" t="s">
        <v>74</v>
      </c>
    </row>
    <row r="20" spans="1:4" x14ac:dyDescent="0.25">
      <c r="A20" s="2" t="s">
        <v>37</v>
      </c>
      <c r="B20" s="10">
        <v>6.8965517241379309E-2</v>
      </c>
      <c r="C20" s="10">
        <v>6.8965517241379309E-2</v>
      </c>
      <c r="D20" s="10">
        <v>0.13793103448275862</v>
      </c>
    </row>
    <row r="21" spans="1:4" x14ac:dyDescent="0.25">
      <c r="A21" s="2" t="s">
        <v>51</v>
      </c>
      <c r="B21" s="10">
        <v>0.13793103448275862</v>
      </c>
      <c r="C21" s="10">
        <v>0</v>
      </c>
      <c r="D21" s="10">
        <v>0.13793103448275862</v>
      </c>
    </row>
    <row r="22" spans="1:4" x14ac:dyDescent="0.25">
      <c r="A22" s="2" t="s">
        <v>63</v>
      </c>
      <c r="B22" s="10">
        <v>0.13793103448275862</v>
      </c>
      <c r="C22" s="10">
        <v>6.8965517241379309E-2</v>
      </c>
      <c r="D22" s="10">
        <v>0.20689655172413793</v>
      </c>
    </row>
    <row r="23" spans="1:4" x14ac:dyDescent="0.25">
      <c r="A23" s="2" t="s">
        <v>38</v>
      </c>
      <c r="B23" s="10">
        <v>6.8965517241379309E-2</v>
      </c>
      <c r="C23" s="10">
        <v>3.4482758620689655E-2</v>
      </c>
      <c r="D23" s="10">
        <v>0.10344827586206896</v>
      </c>
    </row>
    <row r="24" spans="1:4" x14ac:dyDescent="0.25">
      <c r="A24" s="2" t="s">
        <v>44</v>
      </c>
      <c r="B24" s="10">
        <v>6.8965517241379309E-2</v>
      </c>
      <c r="C24" s="10">
        <v>6.8965517241379309E-2</v>
      </c>
      <c r="D24" s="10">
        <v>0.13793103448275862</v>
      </c>
    </row>
    <row r="25" spans="1:4" x14ac:dyDescent="0.25">
      <c r="A25" s="2" t="s">
        <v>28</v>
      </c>
      <c r="B25" s="10">
        <v>6.8965517241379309E-2</v>
      </c>
      <c r="C25" s="10">
        <v>0.10344827586206896</v>
      </c>
      <c r="D25" s="10">
        <v>0.17241379310344829</v>
      </c>
    </row>
    <row r="26" spans="1:4" x14ac:dyDescent="0.25">
      <c r="A26" s="2" t="s">
        <v>50</v>
      </c>
      <c r="B26" s="10">
        <v>6.8965517241379309E-2</v>
      </c>
      <c r="C26" s="10">
        <v>3.4482758620689655E-2</v>
      </c>
      <c r="D26" s="10">
        <v>0.10344827586206896</v>
      </c>
    </row>
    <row r="27" spans="1:4" x14ac:dyDescent="0.25">
      <c r="A27" s="2" t="s">
        <v>74</v>
      </c>
      <c r="B27" s="10">
        <v>0.62068965517241381</v>
      </c>
      <c r="C27" s="10">
        <v>0.37931034482758619</v>
      </c>
      <c r="D27" s="10">
        <v>1</v>
      </c>
    </row>
    <row r="39" spans="1:4" x14ac:dyDescent="0.25">
      <c r="A39" s="9" t="s">
        <v>80</v>
      </c>
      <c r="B39" s="9" t="s">
        <v>73</v>
      </c>
    </row>
    <row r="40" spans="1:4" x14ac:dyDescent="0.25">
      <c r="A40" s="9" t="s">
        <v>75</v>
      </c>
      <c r="B40" t="s">
        <v>153</v>
      </c>
      <c r="C40" t="s">
        <v>154</v>
      </c>
      <c r="D40" t="s">
        <v>74</v>
      </c>
    </row>
    <row r="41" spans="1:4" x14ac:dyDescent="0.25">
      <c r="A41" s="2" t="s">
        <v>79</v>
      </c>
      <c r="B41" s="10">
        <v>0.2413793103448276</v>
      </c>
      <c r="C41" s="10">
        <v>0.2413793103448276</v>
      </c>
      <c r="D41" s="10">
        <v>0.48275862068965519</v>
      </c>
    </row>
    <row r="42" spans="1:4" x14ac:dyDescent="0.25">
      <c r="A42" s="2" t="s">
        <v>81</v>
      </c>
      <c r="B42" s="10">
        <v>0.37931034482758619</v>
      </c>
      <c r="C42" s="10">
        <v>0.10344827586206896</v>
      </c>
      <c r="D42" s="10">
        <v>0.48275862068965519</v>
      </c>
    </row>
    <row r="43" spans="1:4" x14ac:dyDescent="0.25">
      <c r="A43" s="2" t="s">
        <v>82</v>
      </c>
      <c r="B43" s="10">
        <v>0</v>
      </c>
      <c r="C43" s="10">
        <v>3.4482758620689655E-2</v>
      </c>
      <c r="D43" s="10">
        <v>3.4482758620689655E-2</v>
      </c>
    </row>
    <row r="44" spans="1:4" x14ac:dyDescent="0.25">
      <c r="A44" s="2" t="s">
        <v>74</v>
      </c>
      <c r="B44" s="10">
        <v>0.62068965517241381</v>
      </c>
      <c r="C44" s="10">
        <v>0.37931034482758619</v>
      </c>
      <c r="D44" s="10">
        <v>1</v>
      </c>
    </row>
    <row r="63" spans="1:5" x14ac:dyDescent="0.25">
      <c r="A63" s="9" t="s">
        <v>72</v>
      </c>
      <c r="B63" s="9" t="s">
        <v>73</v>
      </c>
    </row>
    <row r="64" spans="1:5" x14ac:dyDescent="0.25">
      <c r="A64" s="9" t="s">
        <v>75</v>
      </c>
      <c r="B64" t="s">
        <v>83</v>
      </c>
      <c r="C64" t="s">
        <v>84</v>
      </c>
      <c r="D64" t="s">
        <v>85</v>
      </c>
      <c r="E64" t="s">
        <v>74</v>
      </c>
    </row>
    <row r="65" spans="1:5" x14ac:dyDescent="0.25">
      <c r="A65" s="2" t="s">
        <v>155</v>
      </c>
      <c r="B65" s="10">
        <v>0.27586206896551724</v>
      </c>
      <c r="C65" s="10">
        <v>0.2413793103448276</v>
      </c>
      <c r="D65" s="10">
        <v>0.10344827586206896</v>
      </c>
      <c r="E65" s="10">
        <v>0.62068965517241381</v>
      </c>
    </row>
    <row r="66" spans="1:5" x14ac:dyDescent="0.25">
      <c r="A66" s="2" t="s">
        <v>156</v>
      </c>
      <c r="B66" s="10">
        <v>0.20689655172413793</v>
      </c>
      <c r="C66" s="10">
        <v>0.13793103448275862</v>
      </c>
      <c r="D66" s="10">
        <v>3.4482758620689655E-2</v>
      </c>
      <c r="E66" s="10">
        <v>0.37931034482758619</v>
      </c>
    </row>
    <row r="67" spans="1:5" x14ac:dyDescent="0.25">
      <c r="A67" s="2" t="s">
        <v>74</v>
      </c>
      <c r="B67" s="10">
        <v>0.48275862068965519</v>
      </c>
      <c r="C67" s="10">
        <v>0.37931034482758619</v>
      </c>
      <c r="D67" s="10">
        <v>0.13793103448275862</v>
      </c>
      <c r="E67" s="10">
        <v>1</v>
      </c>
    </row>
    <row r="78" spans="1:5" x14ac:dyDescent="0.25">
      <c r="A78" s="9" t="s">
        <v>75</v>
      </c>
      <c r="B78" t="s">
        <v>128</v>
      </c>
    </row>
    <row r="79" spans="1:5" x14ac:dyDescent="0.25">
      <c r="A79" s="2" t="s">
        <v>130</v>
      </c>
      <c r="B79">
        <v>4.3</v>
      </c>
    </row>
    <row r="80" spans="1:5" x14ac:dyDescent="0.25">
      <c r="A80" s="2" t="s">
        <v>129</v>
      </c>
      <c r="B80">
        <v>3.4545454545454546</v>
      </c>
    </row>
    <row r="81" spans="1:2" x14ac:dyDescent="0.25">
      <c r="A81" s="2" t="s">
        <v>74</v>
      </c>
      <c r="B81">
        <v>4</v>
      </c>
    </row>
  </sheetData>
  <pageMargins left="0.7" right="0.7" top="0.75" bottom="0.75" header="0.3" footer="0.3"/>
  <drawing r:id="rId6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ED7053-58E3-8841-A022-DFF34AEAD387}">
  <dimension ref="A1:AJ126"/>
  <sheetViews>
    <sheetView topLeftCell="A63" zoomScale="80" zoomScaleNormal="80" workbookViewId="0">
      <selection activeCell="I138" sqref="I138"/>
    </sheetView>
  </sheetViews>
  <sheetFormatPr defaultColWidth="11.42578125" defaultRowHeight="15" x14ac:dyDescent="0.25"/>
  <cols>
    <col min="2" max="2" width="40.28515625" customWidth="1"/>
    <col min="3" max="3" width="37.28515625" bestFit="1" customWidth="1"/>
    <col min="4" max="4" width="12.42578125" bestFit="1" customWidth="1"/>
    <col min="5" max="5" width="9.42578125" bestFit="1" customWidth="1"/>
    <col min="6" max="6" width="20.85546875" bestFit="1" customWidth="1"/>
    <col min="7" max="7" width="23.42578125" bestFit="1" customWidth="1"/>
    <col min="8" max="8" width="19.85546875" bestFit="1" customWidth="1"/>
    <col min="9" max="9" width="51.140625" customWidth="1"/>
    <col min="10" max="10" width="18.85546875" bestFit="1" customWidth="1"/>
    <col min="11" max="11" width="70" bestFit="1" customWidth="1"/>
    <col min="12" max="12" width="17.140625" bestFit="1" customWidth="1"/>
    <col min="13" max="13" width="46.42578125" bestFit="1" customWidth="1"/>
    <col min="14" max="14" width="22.140625" bestFit="1" customWidth="1"/>
    <col min="15" max="15" width="24.85546875" bestFit="1" customWidth="1"/>
    <col min="16" max="16" width="11.42578125" bestFit="1" customWidth="1"/>
    <col min="17" max="17" width="50" bestFit="1" customWidth="1"/>
    <col min="18" max="18" width="71" bestFit="1" customWidth="1"/>
    <col min="19" max="20" width="25.85546875" customWidth="1"/>
    <col min="21" max="21" width="38.140625" customWidth="1"/>
    <col min="22" max="22" width="32.7109375" customWidth="1"/>
    <col min="23" max="23" width="37.28515625" customWidth="1"/>
    <col min="24" max="24" width="65.85546875" customWidth="1"/>
    <col min="25" max="25" width="43.140625" bestFit="1" customWidth="1"/>
    <col min="26" max="26" width="29.28515625" customWidth="1"/>
    <col min="27" max="27" width="46.42578125" bestFit="1" customWidth="1"/>
    <col min="28" max="28" width="11.42578125" customWidth="1"/>
    <col min="33" max="33" width="11.42578125" customWidth="1"/>
  </cols>
  <sheetData>
    <row r="1" spans="1:2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122</v>
      </c>
      <c r="Z1" t="s">
        <v>78</v>
      </c>
      <c r="AA1" t="s">
        <v>118</v>
      </c>
    </row>
    <row r="2" spans="1:29" x14ac:dyDescent="0.25">
      <c r="A2">
        <v>1</v>
      </c>
      <c r="B2" s="1">
        <v>45777.953726851803</v>
      </c>
      <c r="C2" s="1">
        <v>45777.955127314803</v>
      </c>
      <c r="D2" t="s">
        <v>27</v>
      </c>
      <c r="F2" s="1"/>
      <c r="G2" s="2">
        <v>1</v>
      </c>
      <c r="H2" s="3">
        <v>23</v>
      </c>
      <c r="I2" t="s">
        <v>28</v>
      </c>
      <c r="J2" t="s">
        <v>29</v>
      </c>
      <c r="K2" s="2">
        <v>1</v>
      </c>
      <c r="L2" s="2">
        <v>1</v>
      </c>
      <c r="M2" s="2">
        <v>1</v>
      </c>
      <c r="N2" s="2">
        <v>0</v>
      </c>
      <c r="O2" s="2">
        <v>1</v>
      </c>
      <c r="P2" s="2">
        <v>1</v>
      </c>
      <c r="Q2" s="2">
        <v>0</v>
      </c>
      <c r="R2" s="2">
        <v>1</v>
      </c>
      <c r="S2" t="s">
        <v>32</v>
      </c>
      <c r="T2" s="3">
        <v>2</v>
      </c>
      <c r="U2" t="s">
        <v>33</v>
      </c>
      <c r="V2" t="s">
        <v>34</v>
      </c>
      <c r="W2" t="s">
        <v>35</v>
      </c>
      <c r="X2" t="s">
        <v>36</v>
      </c>
      <c r="Y2">
        <f t="shared" ref="Y2:Y12" si="0">COUNTIF(L2:Q2, "1")</f>
        <v>4</v>
      </c>
      <c r="Z2" s="3">
        <v>2</v>
      </c>
      <c r="AA2" t="s">
        <v>119</v>
      </c>
    </row>
    <row r="3" spans="1:29" x14ac:dyDescent="0.25">
      <c r="A3">
        <v>3</v>
      </c>
      <c r="B3" s="1">
        <v>45777.970590277801</v>
      </c>
      <c r="C3" s="1">
        <v>45777.971539351798</v>
      </c>
      <c r="D3" t="s">
        <v>27</v>
      </c>
      <c r="F3" s="1"/>
      <c r="G3" s="2">
        <v>2</v>
      </c>
      <c r="H3" s="3">
        <v>20</v>
      </c>
      <c r="I3" t="s">
        <v>38</v>
      </c>
      <c r="J3" t="s">
        <v>39</v>
      </c>
      <c r="K3" s="2">
        <v>1</v>
      </c>
      <c r="L3" s="2">
        <v>0</v>
      </c>
      <c r="M3" s="2">
        <v>1</v>
      </c>
      <c r="N3" s="2">
        <v>0</v>
      </c>
      <c r="O3" s="2">
        <v>0</v>
      </c>
      <c r="P3" s="2">
        <v>1</v>
      </c>
      <c r="Q3" s="2">
        <v>0</v>
      </c>
      <c r="R3" s="2">
        <v>1</v>
      </c>
      <c r="S3" t="s">
        <v>32</v>
      </c>
      <c r="T3" s="3">
        <v>1</v>
      </c>
      <c r="U3" t="s">
        <v>40</v>
      </c>
      <c r="V3" t="s">
        <v>41</v>
      </c>
      <c r="W3" t="s">
        <v>42</v>
      </c>
      <c r="X3" t="s">
        <v>43</v>
      </c>
      <c r="Y3">
        <f t="shared" si="0"/>
        <v>2</v>
      </c>
      <c r="Z3" s="3">
        <v>1</v>
      </c>
      <c r="AA3" t="s">
        <v>119</v>
      </c>
    </row>
    <row r="4" spans="1:29" x14ac:dyDescent="0.25">
      <c r="A4">
        <v>5</v>
      </c>
      <c r="B4" s="1">
        <v>45778.127395833297</v>
      </c>
      <c r="C4" s="1">
        <v>45778.1303356481</v>
      </c>
      <c r="D4" t="s">
        <v>27</v>
      </c>
      <c r="F4" s="1"/>
      <c r="G4" s="2">
        <v>1</v>
      </c>
      <c r="H4" s="3">
        <v>31</v>
      </c>
      <c r="I4" t="s">
        <v>28</v>
      </c>
      <c r="J4" t="s">
        <v>39</v>
      </c>
      <c r="K4" s="2">
        <v>1</v>
      </c>
      <c r="L4" s="2">
        <v>0</v>
      </c>
      <c r="M4" s="2">
        <v>1</v>
      </c>
      <c r="N4" s="2">
        <v>0</v>
      </c>
      <c r="O4" s="2">
        <v>1</v>
      </c>
      <c r="P4" s="2">
        <v>1</v>
      </c>
      <c r="Q4" s="2">
        <v>1</v>
      </c>
      <c r="R4" s="2">
        <v>1</v>
      </c>
      <c r="S4" t="s">
        <v>46</v>
      </c>
      <c r="T4" s="3">
        <v>4</v>
      </c>
      <c r="U4" t="s">
        <v>47</v>
      </c>
      <c r="V4" t="s">
        <v>34</v>
      </c>
      <c r="W4" t="s">
        <v>48</v>
      </c>
      <c r="X4" t="s">
        <v>43</v>
      </c>
      <c r="Y4">
        <f t="shared" si="0"/>
        <v>4</v>
      </c>
      <c r="Z4" s="3">
        <v>4</v>
      </c>
      <c r="AA4" t="s">
        <v>119</v>
      </c>
    </row>
    <row r="5" spans="1:29" x14ac:dyDescent="0.25">
      <c r="A5">
        <v>10</v>
      </c>
      <c r="B5" s="1">
        <v>45778.384201388901</v>
      </c>
      <c r="C5" s="1">
        <v>45778.385381944398</v>
      </c>
      <c r="D5" t="s">
        <v>27</v>
      </c>
      <c r="F5" s="1"/>
      <c r="G5" s="2">
        <v>1</v>
      </c>
      <c r="H5" s="3">
        <v>20</v>
      </c>
      <c r="I5" t="s">
        <v>44</v>
      </c>
      <c r="J5" t="s">
        <v>45</v>
      </c>
      <c r="K5" s="2">
        <v>2</v>
      </c>
      <c r="L5" s="2">
        <v>0</v>
      </c>
      <c r="M5" s="2">
        <v>1</v>
      </c>
      <c r="N5" s="2">
        <v>0</v>
      </c>
      <c r="O5" s="2">
        <v>1</v>
      </c>
      <c r="P5" s="2">
        <v>1</v>
      </c>
      <c r="Q5" s="2">
        <v>0</v>
      </c>
      <c r="R5" s="2">
        <v>1</v>
      </c>
      <c r="S5" t="s">
        <v>46</v>
      </c>
      <c r="T5" s="3">
        <v>4</v>
      </c>
      <c r="U5" t="s">
        <v>55</v>
      </c>
      <c r="V5" t="s">
        <v>34</v>
      </c>
      <c r="W5" t="s">
        <v>48</v>
      </c>
      <c r="X5" t="s">
        <v>137</v>
      </c>
      <c r="Y5">
        <f t="shared" si="0"/>
        <v>3</v>
      </c>
      <c r="Z5" s="3">
        <v>4</v>
      </c>
      <c r="AA5" t="s">
        <v>119</v>
      </c>
    </row>
    <row r="6" spans="1:29" x14ac:dyDescent="0.25">
      <c r="A6">
        <v>11</v>
      </c>
      <c r="B6" s="1">
        <v>45778.555312500001</v>
      </c>
      <c r="C6" s="1">
        <v>45778.557268518503</v>
      </c>
      <c r="D6" t="s">
        <v>27</v>
      </c>
      <c r="F6" s="1"/>
      <c r="G6" s="2">
        <v>2</v>
      </c>
      <c r="H6" s="3">
        <v>20</v>
      </c>
      <c r="I6" t="s">
        <v>37</v>
      </c>
      <c r="J6" t="s">
        <v>39</v>
      </c>
      <c r="K6" s="2">
        <v>1</v>
      </c>
      <c r="L6" s="2">
        <v>0</v>
      </c>
      <c r="M6" s="2">
        <v>1</v>
      </c>
      <c r="N6" s="2">
        <v>0</v>
      </c>
      <c r="O6" s="2">
        <v>1</v>
      </c>
      <c r="P6" s="2">
        <v>1</v>
      </c>
      <c r="Q6" s="2">
        <v>0</v>
      </c>
      <c r="R6" s="2">
        <v>1</v>
      </c>
      <c r="S6" t="s">
        <v>56</v>
      </c>
      <c r="T6" s="3">
        <v>2</v>
      </c>
      <c r="U6" t="s">
        <v>57</v>
      </c>
      <c r="V6" t="s">
        <v>34</v>
      </c>
      <c r="W6" t="s">
        <v>58</v>
      </c>
      <c r="X6" t="s">
        <v>59</v>
      </c>
      <c r="Y6">
        <f t="shared" si="0"/>
        <v>3</v>
      </c>
      <c r="Z6" s="3">
        <v>2</v>
      </c>
      <c r="AA6" t="s">
        <v>119</v>
      </c>
    </row>
    <row r="7" spans="1:29" x14ac:dyDescent="0.25">
      <c r="A7">
        <v>12</v>
      </c>
      <c r="B7" s="1">
        <v>45778.558993055602</v>
      </c>
      <c r="C7" s="1">
        <v>45778.561180555596</v>
      </c>
      <c r="D7" t="s">
        <v>27</v>
      </c>
      <c r="F7" s="1"/>
      <c r="G7" s="2">
        <v>1</v>
      </c>
      <c r="H7" s="3">
        <v>21</v>
      </c>
      <c r="I7" t="s">
        <v>37</v>
      </c>
      <c r="J7" t="s">
        <v>53</v>
      </c>
      <c r="K7" s="2">
        <v>3</v>
      </c>
      <c r="L7" s="2">
        <v>0</v>
      </c>
      <c r="M7" s="2">
        <v>1</v>
      </c>
      <c r="N7" s="2">
        <v>0</v>
      </c>
      <c r="O7" s="2">
        <v>0</v>
      </c>
      <c r="P7" s="2">
        <v>0</v>
      </c>
      <c r="Q7" s="2">
        <v>0</v>
      </c>
      <c r="R7" s="2">
        <v>1</v>
      </c>
      <c r="S7" t="s">
        <v>46</v>
      </c>
      <c r="T7" s="3">
        <v>2</v>
      </c>
      <c r="U7" t="s">
        <v>40</v>
      </c>
      <c r="V7" t="s">
        <v>34</v>
      </c>
      <c r="W7" t="s">
        <v>48</v>
      </c>
      <c r="X7" t="s">
        <v>138</v>
      </c>
      <c r="Y7">
        <f t="shared" si="0"/>
        <v>1</v>
      </c>
      <c r="Z7" s="3">
        <v>2</v>
      </c>
      <c r="AA7" t="s">
        <v>119</v>
      </c>
    </row>
    <row r="8" spans="1:29" x14ac:dyDescent="0.25">
      <c r="A8">
        <v>20</v>
      </c>
      <c r="B8" s="1">
        <v>45778.795648148101</v>
      </c>
      <c r="C8" s="1">
        <v>45778.796689814801</v>
      </c>
      <c r="D8" t="s">
        <v>27</v>
      </c>
      <c r="F8" s="1"/>
      <c r="G8" s="2">
        <v>1</v>
      </c>
      <c r="H8" s="3">
        <v>19</v>
      </c>
      <c r="I8" t="s">
        <v>44</v>
      </c>
      <c r="J8" t="s">
        <v>53</v>
      </c>
      <c r="K8" s="2">
        <v>1</v>
      </c>
      <c r="L8" s="2">
        <v>1</v>
      </c>
      <c r="M8" s="2">
        <v>1</v>
      </c>
      <c r="N8" s="2">
        <v>1</v>
      </c>
      <c r="O8" s="2">
        <v>1</v>
      </c>
      <c r="P8" s="2">
        <v>1</v>
      </c>
      <c r="Q8" s="2">
        <v>0</v>
      </c>
      <c r="R8" s="2">
        <v>1</v>
      </c>
      <c r="S8" t="s">
        <v>46</v>
      </c>
      <c r="T8" s="3">
        <v>3</v>
      </c>
      <c r="U8" t="s">
        <v>65</v>
      </c>
      <c r="V8" t="s">
        <v>66</v>
      </c>
      <c r="W8" t="s">
        <v>58</v>
      </c>
      <c r="X8" t="s">
        <v>67</v>
      </c>
      <c r="Y8">
        <f t="shared" si="0"/>
        <v>5</v>
      </c>
      <c r="Z8" s="3">
        <v>3</v>
      </c>
      <c r="AA8" t="s">
        <v>120</v>
      </c>
    </row>
    <row r="9" spans="1:29" x14ac:dyDescent="0.25">
      <c r="A9">
        <v>21</v>
      </c>
      <c r="B9" s="1">
        <v>45778.827094907399</v>
      </c>
      <c r="C9" s="1">
        <v>45778.8278125</v>
      </c>
      <c r="D9" t="s">
        <v>27</v>
      </c>
      <c r="F9" s="1"/>
      <c r="G9" s="2">
        <v>3</v>
      </c>
      <c r="H9" s="3">
        <v>20</v>
      </c>
      <c r="I9" t="s">
        <v>50</v>
      </c>
      <c r="J9" t="s">
        <v>45</v>
      </c>
      <c r="K9" s="2">
        <v>1</v>
      </c>
      <c r="L9" s="2">
        <v>1</v>
      </c>
      <c r="M9" s="2">
        <v>1</v>
      </c>
      <c r="N9" s="2">
        <v>1</v>
      </c>
      <c r="O9" s="2">
        <v>1</v>
      </c>
      <c r="P9" s="2">
        <v>1</v>
      </c>
      <c r="Q9" s="2">
        <v>0</v>
      </c>
      <c r="R9" s="2">
        <v>1</v>
      </c>
      <c r="S9" t="s">
        <v>56</v>
      </c>
      <c r="T9" s="3">
        <v>0</v>
      </c>
      <c r="U9" t="s">
        <v>40</v>
      </c>
      <c r="V9" t="s">
        <v>41</v>
      </c>
      <c r="W9" t="s">
        <v>68</v>
      </c>
      <c r="X9" t="s">
        <v>69</v>
      </c>
      <c r="Y9">
        <f t="shared" si="0"/>
        <v>5</v>
      </c>
      <c r="Z9" s="3">
        <v>0</v>
      </c>
      <c r="AA9" t="s">
        <v>120</v>
      </c>
    </row>
    <row r="10" spans="1:29" x14ac:dyDescent="0.25">
      <c r="A10">
        <v>27</v>
      </c>
      <c r="B10" s="1">
        <v>45781.020879629599</v>
      </c>
      <c r="C10" s="1">
        <v>45781.022881944402</v>
      </c>
      <c r="D10" t="s">
        <v>27</v>
      </c>
      <c r="F10" s="1"/>
      <c r="G10" s="2">
        <v>1</v>
      </c>
      <c r="H10" s="3">
        <v>19</v>
      </c>
      <c r="I10" t="s">
        <v>63</v>
      </c>
      <c r="J10" t="s">
        <v>45</v>
      </c>
      <c r="K10" s="2">
        <v>2</v>
      </c>
      <c r="L10" s="2">
        <v>0</v>
      </c>
      <c r="M10" s="2">
        <v>1</v>
      </c>
      <c r="N10" s="2">
        <v>0</v>
      </c>
      <c r="O10" s="2">
        <v>0</v>
      </c>
      <c r="P10" s="2">
        <v>1</v>
      </c>
      <c r="Q10" s="2">
        <v>0</v>
      </c>
      <c r="R10" s="2">
        <v>1</v>
      </c>
      <c r="S10" t="s">
        <v>46</v>
      </c>
      <c r="T10" s="3">
        <v>6</v>
      </c>
      <c r="U10" t="s">
        <v>47</v>
      </c>
      <c r="V10" t="s">
        <v>66</v>
      </c>
      <c r="W10" t="s">
        <v>48</v>
      </c>
      <c r="X10" t="s">
        <v>59</v>
      </c>
      <c r="Y10">
        <f t="shared" si="0"/>
        <v>2</v>
      </c>
      <c r="Z10" s="3">
        <v>6</v>
      </c>
      <c r="AA10" t="s">
        <v>120</v>
      </c>
      <c r="AB10" s="11"/>
      <c r="AC10" s="11"/>
    </row>
    <row r="11" spans="1:29" x14ac:dyDescent="0.25">
      <c r="A11">
        <v>28</v>
      </c>
      <c r="B11" s="1">
        <v>45781.037199074097</v>
      </c>
      <c r="C11" s="1">
        <v>45781.038101851896</v>
      </c>
      <c r="D11" t="s">
        <v>27</v>
      </c>
      <c r="F11" s="1"/>
      <c r="G11" s="2">
        <v>2</v>
      </c>
      <c r="H11" s="3">
        <v>20</v>
      </c>
      <c r="I11" t="s">
        <v>28</v>
      </c>
      <c r="J11" t="s">
        <v>39</v>
      </c>
      <c r="K11" s="2">
        <v>2</v>
      </c>
      <c r="L11" s="2">
        <v>1</v>
      </c>
      <c r="M11" s="2">
        <v>1</v>
      </c>
      <c r="N11" s="2">
        <v>0</v>
      </c>
      <c r="O11" s="2">
        <v>1</v>
      </c>
      <c r="P11" s="2">
        <v>1</v>
      </c>
      <c r="Q11" s="2">
        <v>0</v>
      </c>
      <c r="R11" s="2">
        <v>1</v>
      </c>
      <c r="S11" t="s">
        <v>56</v>
      </c>
      <c r="T11" s="2">
        <v>0</v>
      </c>
      <c r="U11" t="s">
        <v>40</v>
      </c>
      <c r="V11" t="s">
        <v>66</v>
      </c>
      <c r="W11" t="s">
        <v>48</v>
      </c>
      <c r="X11" t="s">
        <v>59</v>
      </c>
      <c r="Y11">
        <f t="shared" si="0"/>
        <v>4</v>
      </c>
      <c r="Z11" s="2">
        <v>0</v>
      </c>
      <c r="AA11" t="s">
        <v>119</v>
      </c>
    </row>
    <row r="12" spans="1:29" x14ac:dyDescent="0.25">
      <c r="A12" s="4">
        <v>30</v>
      </c>
      <c r="B12" s="5">
        <v>45781.020879629599</v>
      </c>
      <c r="C12" s="5">
        <v>45781.022881944402</v>
      </c>
      <c r="D12" s="6" t="s">
        <v>27</v>
      </c>
      <c r="E12" s="6"/>
      <c r="F12" s="5"/>
      <c r="G12" s="7">
        <v>1</v>
      </c>
      <c r="H12" s="8">
        <v>19</v>
      </c>
      <c r="I12" s="6" t="s">
        <v>63</v>
      </c>
      <c r="J12" s="6" t="s">
        <v>45</v>
      </c>
      <c r="K12" s="7">
        <v>2</v>
      </c>
      <c r="L12" s="7">
        <v>0</v>
      </c>
      <c r="M12" s="7">
        <v>1</v>
      </c>
      <c r="N12" s="7">
        <v>0</v>
      </c>
      <c r="O12" s="7">
        <v>1</v>
      </c>
      <c r="P12" s="7">
        <v>1</v>
      </c>
      <c r="Q12" s="7">
        <v>0</v>
      </c>
      <c r="R12" s="7">
        <v>1</v>
      </c>
      <c r="S12" s="6"/>
      <c r="T12" s="8">
        <v>1</v>
      </c>
      <c r="U12" s="6" t="s">
        <v>47</v>
      </c>
      <c r="V12" s="6" t="s">
        <v>66</v>
      </c>
      <c r="W12" s="6" t="s">
        <v>48</v>
      </c>
      <c r="X12" s="6" t="s">
        <v>59</v>
      </c>
      <c r="Y12">
        <f t="shared" si="0"/>
        <v>3</v>
      </c>
      <c r="Z12" s="8">
        <v>1</v>
      </c>
      <c r="AA12" t="s">
        <v>119</v>
      </c>
    </row>
    <row r="17" spans="10:36" x14ac:dyDescent="0.25">
      <c r="Q17" s="9" t="s">
        <v>75</v>
      </c>
      <c r="R17" t="s">
        <v>127</v>
      </c>
    </row>
    <row r="18" spans="10:36" x14ac:dyDescent="0.25">
      <c r="J18" s="9" t="s">
        <v>80</v>
      </c>
      <c r="K18" s="9" t="s">
        <v>73</v>
      </c>
      <c r="Q18" s="2" t="s">
        <v>37</v>
      </c>
      <c r="R18">
        <v>2</v>
      </c>
      <c r="AB18" s="12"/>
      <c r="AC18" s="12"/>
      <c r="AD18" s="12"/>
      <c r="AE18" s="12"/>
      <c r="AF18" s="12"/>
      <c r="AG18" s="12"/>
    </row>
    <row r="19" spans="10:36" x14ac:dyDescent="0.25">
      <c r="J19" s="9" t="s">
        <v>75</v>
      </c>
      <c r="K19" t="s">
        <v>46</v>
      </c>
      <c r="L19" t="s">
        <v>56</v>
      </c>
      <c r="M19" t="s">
        <v>32</v>
      </c>
      <c r="N19" t="s">
        <v>74</v>
      </c>
      <c r="Q19" s="2" t="s">
        <v>63</v>
      </c>
      <c r="R19">
        <v>3.5</v>
      </c>
    </row>
    <row r="20" spans="10:36" x14ac:dyDescent="0.25">
      <c r="J20" s="2" t="s">
        <v>79</v>
      </c>
      <c r="K20">
        <v>6</v>
      </c>
      <c r="M20">
        <v>1</v>
      </c>
      <c r="N20">
        <v>7</v>
      </c>
      <c r="Q20" s="2" t="s">
        <v>38</v>
      </c>
      <c r="R20">
        <v>1</v>
      </c>
    </row>
    <row r="21" spans="10:36" x14ac:dyDescent="0.25">
      <c r="J21" s="2" t="s">
        <v>117</v>
      </c>
      <c r="L21">
        <v>2</v>
      </c>
      <c r="M21">
        <v>1</v>
      </c>
      <c r="N21">
        <v>3</v>
      </c>
      <c r="Q21" s="2" t="s">
        <v>44</v>
      </c>
      <c r="R21">
        <v>3.5</v>
      </c>
    </row>
    <row r="22" spans="10:36" x14ac:dyDescent="0.25">
      <c r="J22" s="2" t="s">
        <v>82</v>
      </c>
      <c r="L22">
        <v>1</v>
      </c>
      <c r="N22">
        <v>1</v>
      </c>
      <c r="Q22" s="2" t="s">
        <v>28</v>
      </c>
      <c r="R22">
        <v>2.3333333333333335</v>
      </c>
    </row>
    <row r="23" spans="10:36" x14ac:dyDescent="0.25">
      <c r="J23" s="2" t="s">
        <v>74</v>
      </c>
      <c r="K23">
        <v>6</v>
      </c>
      <c r="L23">
        <v>3</v>
      </c>
      <c r="M23">
        <v>2</v>
      </c>
      <c r="N23">
        <v>11</v>
      </c>
      <c r="Q23" s="2" t="s">
        <v>50</v>
      </c>
      <c r="R23">
        <v>1</v>
      </c>
      <c r="AB23" s="12"/>
      <c r="AC23" s="12"/>
      <c r="AD23" s="12"/>
      <c r="AE23" s="12"/>
      <c r="AF23" s="12"/>
      <c r="AG23" s="12"/>
      <c r="AH23" s="12"/>
      <c r="AI23" s="12"/>
      <c r="AJ23" s="12"/>
    </row>
    <row r="24" spans="10:36" x14ac:dyDescent="0.25">
      <c r="Q24" s="2" t="s">
        <v>74</v>
      </c>
      <c r="R24">
        <v>2.4545454545454546</v>
      </c>
    </row>
    <row r="31" spans="10:36" x14ac:dyDescent="0.25">
      <c r="AB31" s="12"/>
      <c r="AC31" s="12"/>
      <c r="AD31" s="12"/>
      <c r="AE31" s="12"/>
      <c r="AG31" s="12"/>
      <c r="AH31" s="12"/>
    </row>
    <row r="44" spans="2:13" x14ac:dyDescent="0.25">
      <c r="K44" s="19" t="s">
        <v>23</v>
      </c>
      <c r="L44" s="20" t="s">
        <v>109</v>
      </c>
      <c r="M44" s="24" t="s">
        <v>115</v>
      </c>
    </row>
    <row r="45" spans="2:13" x14ac:dyDescent="0.25">
      <c r="K45" t="s">
        <v>36</v>
      </c>
      <c r="L45">
        <f>COUNTIF($X$2:$X$12, "*I find pleasure in it*")</f>
        <v>7</v>
      </c>
      <c r="M45">
        <f>AVERAGEIFS($Z$2:$Z$12, $X$2:$X$12, "*I find pleasure in it*")</f>
        <v>2</v>
      </c>
    </row>
    <row r="46" spans="2:13" x14ac:dyDescent="0.25">
      <c r="K46" t="s">
        <v>111</v>
      </c>
      <c r="L46">
        <f>COUNTIF($X$2:$X$12, "*It calms me down*")</f>
        <v>5</v>
      </c>
      <c r="M46">
        <f>AVERAGEIFS($Z$2:$Z$12, $X$2:$X$12, "*It calms me down*")</f>
        <v>2.4</v>
      </c>
    </row>
    <row r="47" spans="2:13" x14ac:dyDescent="0.25">
      <c r="K47" t="s">
        <v>116</v>
      </c>
      <c r="L47">
        <f>COUNTIF($X$2:$X$12, "*It's become a force of habit*")</f>
        <v>2</v>
      </c>
      <c r="M47">
        <f>AVERAGEIFS($Z$2:$Z$12, $X$2:$X$12, "*It's become a force of habit*")</f>
        <v>2</v>
      </c>
    </row>
    <row r="48" spans="2:13" x14ac:dyDescent="0.25">
      <c r="B48" s="19" t="s">
        <v>23</v>
      </c>
      <c r="C48" s="20" t="s">
        <v>109</v>
      </c>
    </row>
    <row r="49" spans="2:3" x14ac:dyDescent="0.25">
      <c r="B49" t="s">
        <v>36</v>
      </c>
      <c r="C49">
        <f>COUNTIF($X$2:$X$12, "*I find pleasure in it*")</f>
        <v>7</v>
      </c>
    </row>
    <row r="50" spans="2:3" x14ac:dyDescent="0.25">
      <c r="B50" t="s">
        <v>111</v>
      </c>
      <c r="C50">
        <f>COUNTIF($X$2:$X$12, "*It calms me down*")</f>
        <v>5</v>
      </c>
    </row>
    <row r="51" spans="2:3" x14ac:dyDescent="0.25">
      <c r="B51" t="s">
        <v>71</v>
      </c>
      <c r="C51">
        <f>COUNTIF($X$2:$X$12, "*It's become a force of habit*")</f>
        <v>2</v>
      </c>
    </row>
    <row r="52" spans="2:3" x14ac:dyDescent="0.25">
      <c r="B52" t="s">
        <v>139</v>
      </c>
      <c r="C52">
        <v>1</v>
      </c>
    </row>
    <row r="53" spans="2:3" x14ac:dyDescent="0.25">
      <c r="B53" t="s">
        <v>140</v>
      </c>
      <c r="C53">
        <v>1</v>
      </c>
    </row>
    <row r="56" spans="2:3" x14ac:dyDescent="0.25">
      <c r="B56" s="19" t="s">
        <v>22</v>
      </c>
      <c r="C56" s="20" t="s">
        <v>109</v>
      </c>
    </row>
    <row r="57" spans="2:3" x14ac:dyDescent="0.25">
      <c r="B57" t="s">
        <v>121</v>
      </c>
      <c r="C57">
        <f>COUNTIF($W$2:$W$12, "*Other*")</f>
        <v>8</v>
      </c>
    </row>
    <row r="58" spans="2:3" x14ac:dyDescent="0.25">
      <c r="B58" t="s">
        <v>112</v>
      </c>
      <c r="C58">
        <f>COUNTIF($W$2:$W$11, "*Learnt from family member*")</f>
        <v>1</v>
      </c>
    </row>
    <row r="59" spans="2:3" x14ac:dyDescent="0.25">
      <c r="B59" t="s">
        <v>113</v>
      </c>
      <c r="C59">
        <f>COUNTIF($W$2:$W$12, "*Relief from Psychological issues*")</f>
        <v>3</v>
      </c>
    </row>
    <row r="60" spans="2:3" x14ac:dyDescent="0.25">
      <c r="B60" t="s">
        <v>114</v>
      </c>
      <c r="C60">
        <f>COUNTIF($W$2:$W$12, "*Stress*")</f>
        <v>2</v>
      </c>
    </row>
    <row r="78" spans="10:11" x14ac:dyDescent="0.25">
      <c r="J78" s="9" t="s">
        <v>75</v>
      </c>
      <c r="K78" t="s">
        <v>126</v>
      </c>
    </row>
    <row r="79" spans="10:11" x14ac:dyDescent="0.25">
      <c r="J79" s="2" t="s">
        <v>41</v>
      </c>
      <c r="K79">
        <v>1</v>
      </c>
    </row>
    <row r="80" spans="10:11" x14ac:dyDescent="0.25">
      <c r="J80" s="2" t="s">
        <v>66</v>
      </c>
      <c r="K80">
        <v>2.75</v>
      </c>
    </row>
    <row r="81" spans="2:11" x14ac:dyDescent="0.25">
      <c r="J81" s="2" t="s">
        <v>34</v>
      </c>
      <c r="K81">
        <v>2.8</v>
      </c>
    </row>
    <row r="82" spans="2:11" x14ac:dyDescent="0.25">
      <c r="B82" s="9" t="s">
        <v>75</v>
      </c>
      <c r="C82" t="s">
        <v>123</v>
      </c>
      <c r="J82" s="2" t="s">
        <v>74</v>
      </c>
      <c r="K82">
        <v>2.4545454545454546</v>
      </c>
    </row>
    <row r="83" spans="2:11" x14ac:dyDescent="0.25">
      <c r="B83" s="2" t="s">
        <v>120</v>
      </c>
      <c r="C83">
        <v>3</v>
      </c>
    </row>
    <row r="84" spans="2:11" x14ac:dyDescent="0.25">
      <c r="B84" s="2" t="s">
        <v>119</v>
      </c>
      <c r="C84">
        <v>8</v>
      </c>
    </row>
    <row r="85" spans="2:11" x14ac:dyDescent="0.25">
      <c r="B85" s="2" t="s">
        <v>74</v>
      </c>
      <c r="C85">
        <v>11</v>
      </c>
    </row>
    <row r="118" spans="2:4" x14ac:dyDescent="0.25">
      <c r="B118" s="9" t="s">
        <v>135</v>
      </c>
      <c r="C118" s="9" t="s">
        <v>73</v>
      </c>
    </row>
    <row r="119" spans="2:4" x14ac:dyDescent="0.25">
      <c r="B119" s="9" t="s">
        <v>75</v>
      </c>
      <c r="C119" t="s">
        <v>129</v>
      </c>
      <c r="D119" t="s">
        <v>74</v>
      </c>
    </row>
    <row r="120" spans="2:4" x14ac:dyDescent="0.25">
      <c r="B120" s="2" t="s">
        <v>37</v>
      </c>
      <c r="C120" s="10">
        <v>0.27272727272727271</v>
      </c>
      <c r="D120" s="10">
        <v>0.27272727272727271</v>
      </c>
    </row>
    <row r="121" spans="2:4" x14ac:dyDescent="0.25">
      <c r="B121" s="2" t="s">
        <v>63</v>
      </c>
      <c r="C121" s="10">
        <v>9.0909090909090912E-2</v>
      </c>
      <c r="D121" s="10">
        <v>9.0909090909090912E-2</v>
      </c>
    </row>
    <row r="122" spans="2:4" x14ac:dyDescent="0.25">
      <c r="B122" s="2" t="s">
        <v>38</v>
      </c>
      <c r="C122" s="10">
        <v>9.0909090909090912E-2</v>
      </c>
      <c r="D122" s="10">
        <v>9.0909090909090912E-2</v>
      </c>
    </row>
    <row r="123" spans="2:4" x14ac:dyDescent="0.25">
      <c r="B123" s="2" t="s">
        <v>44</v>
      </c>
      <c r="C123" s="10">
        <v>0.18181818181818182</v>
      </c>
      <c r="D123" s="10">
        <v>0.18181818181818182</v>
      </c>
    </row>
    <row r="124" spans="2:4" x14ac:dyDescent="0.25">
      <c r="B124" s="2" t="s">
        <v>28</v>
      </c>
      <c r="C124" s="10">
        <v>0.27272727272727271</v>
      </c>
      <c r="D124" s="10">
        <v>0.27272727272727271</v>
      </c>
    </row>
    <row r="125" spans="2:4" x14ac:dyDescent="0.25">
      <c r="B125" s="2" t="s">
        <v>50</v>
      </c>
      <c r="C125" s="10">
        <v>9.0909090909090912E-2</v>
      </c>
      <c r="D125" s="10">
        <v>9.0909090909090912E-2</v>
      </c>
    </row>
    <row r="126" spans="2:4" x14ac:dyDescent="0.25">
      <c r="B126" s="2" t="s">
        <v>74</v>
      </c>
      <c r="C126" s="10">
        <v>1</v>
      </c>
      <c r="D126" s="10">
        <v>1</v>
      </c>
    </row>
  </sheetData>
  <sortState xmlns:xlrd2="http://schemas.microsoft.com/office/spreadsheetml/2017/richdata2" ref="AH32:AH42">
    <sortCondition ref="AH32"/>
  </sortState>
  <phoneticPr fontId="2" type="noConversion"/>
  <pageMargins left="0.7" right="0.7" top="0.75" bottom="0.75" header="0.3" footer="0.3"/>
  <pageSetup paperSize="9" orientation="portrait" horizontalDpi="300" verticalDpi="0" r:id="rId6"/>
  <drawing r:id="rId7"/>
  <legacyDrawing r:id="rId8"/>
  <tableParts count="1">
    <tablePart r:id="rId9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D2DF11-4025-E94E-9530-AA526ECB7BAC}">
  <dimension ref="A1:R68"/>
  <sheetViews>
    <sheetView topLeftCell="A42" zoomScale="82" zoomScaleNormal="82" workbookViewId="0">
      <selection activeCell="R25" sqref="R25"/>
    </sheetView>
  </sheetViews>
  <sheetFormatPr defaultColWidth="11.42578125" defaultRowHeight="15" x14ac:dyDescent="0.25"/>
  <cols>
    <col min="1" max="1" width="23.42578125" bestFit="1" customWidth="1"/>
    <col min="2" max="2" width="16.28515625" bestFit="1" customWidth="1"/>
    <col min="3" max="3" width="22.85546875" bestFit="1" customWidth="1"/>
    <col min="4" max="4" width="19.28515625" bestFit="1" customWidth="1"/>
    <col min="5" max="5" width="48.7109375" bestFit="1" customWidth="1"/>
    <col min="6" max="6" width="31.28515625" bestFit="1" customWidth="1"/>
    <col min="7" max="7" width="22.42578125" bestFit="1" customWidth="1"/>
    <col min="8" max="8" width="16.7109375" bestFit="1" customWidth="1"/>
    <col min="9" max="9" width="31.28515625" bestFit="1" customWidth="1"/>
    <col min="10" max="10" width="21.42578125" bestFit="1" customWidth="1"/>
    <col min="11" max="11" width="24.140625" bestFit="1" customWidth="1"/>
    <col min="12" max="12" width="22.42578125" bestFit="1" customWidth="1"/>
    <col min="13" max="13" width="18.140625" bestFit="1" customWidth="1"/>
    <col min="14" max="14" width="17.42578125" bestFit="1" customWidth="1"/>
    <col min="15" max="15" width="28.140625" customWidth="1"/>
    <col min="16" max="16" width="30.7109375" bestFit="1" customWidth="1"/>
    <col min="17" max="17" width="19.140625" bestFit="1" customWidth="1"/>
    <col min="18" max="18" width="22" customWidth="1"/>
  </cols>
  <sheetData>
    <row r="1" spans="1:18" x14ac:dyDescent="0.25">
      <c r="A1" t="s">
        <v>0</v>
      </c>
      <c r="B1" t="s">
        <v>5</v>
      </c>
      <c r="C1" t="s">
        <v>6</v>
      </c>
      <c r="D1" t="s">
        <v>7</v>
      </c>
      <c r="E1" t="s">
        <v>8</v>
      </c>
      <c r="F1" t="s">
        <v>9</v>
      </c>
      <c r="G1" t="s">
        <v>10</v>
      </c>
      <c r="H1" t="s">
        <v>11</v>
      </c>
      <c r="I1" t="s">
        <v>12</v>
      </c>
      <c r="J1" t="s">
        <v>13</v>
      </c>
      <c r="K1" t="s">
        <v>14</v>
      </c>
      <c r="L1" t="s">
        <v>15</v>
      </c>
      <c r="M1" t="s">
        <v>16</v>
      </c>
      <c r="N1" t="s">
        <v>17</v>
      </c>
      <c r="O1" t="s">
        <v>24</v>
      </c>
      <c r="P1" t="s">
        <v>25</v>
      </c>
      <c r="Q1" t="s">
        <v>26</v>
      </c>
      <c r="R1" t="s">
        <v>77</v>
      </c>
    </row>
    <row r="2" spans="1:18" x14ac:dyDescent="0.25">
      <c r="A2">
        <v>2</v>
      </c>
      <c r="B2" s="1"/>
      <c r="C2" s="2">
        <v>2</v>
      </c>
      <c r="D2" s="3">
        <v>21</v>
      </c>
      <c r="E2" t="s">
        <v>37</v>
      </c>
      <c r="F2" t="s">
        <v>29</v>
      </c>
      <c r="G2" s="2">
        <v>1</v>
      </c>
      <c r="H2" s="2">
        <v>0</v>
      </c>
      <c r="I2" s="2">
        <v>1</v>
      </c>
      <c r="J2" s="2">
        <v>0</v>
      </c>
      <c r="K2" s="2">
        <v>1</v>
      </c>
      <c r="L2" s="2">
        <v>1</v>
      </c>
      <c r="M2" s="2">
        <v>0</v>
      </c>
      <c r="N2" s="2">
        <v>0</v>
      </c>
      <c r="O2" t="s">
        <v>86</v>
      </c>
      <c r="P2" t="s">
        <v>31</v>
      </c>
      <c r="Q2" t="s">
        <v>31</v>
      </c>
      <c r="R2" s="29">
        <f>COUNTIF(Table15[[#This Row],[Fertility Issues]:[Respiratory Illnesses ]], "1")</f>
        <v>3</v>
      </c>
    </row>
    <row r="3" spans="1:18" x14ac:dyDescent="0.25">
      <c r="A3" s="2">
        <v>4</v>
      </c>
      <c r="B3" s="1"/>
      <c r="C3" s="2">
        <v>2</v>
      </c>
      <c r="D3" s="3">
        <v>22</v>
      </c>
      <c r="E3" t="s">
        <v>44</v>
      </c>
      <c r="F3" t="s">
        <v>45</v>
      </c>
      <c r="G3" s="2">
        <v>1</v>
      </c>
      <c r="H3" s="2">
        <v>1</v>
      </c>
      <c r="I3" s="2">
        <v>1</v>
      </c>
      <c r="J3" s="2">
        <v>1</v>
      </c>
      <c r="K3" s="2">
        <v>1</v>
      </c>
      <c r="L3" s="2">
        <v>1</v>
      </c>
      <c r="M3" s="2">
        <v>0</v>
      </c>
      <c r="N3" s="2">
        <v>0</v>
      </c>
      <c r="O3" t="s">
        <v>87</v>
      </c>
      <c r="P3" t="s">
        <v>30</v>
      </c>
      <c r="Q3" t="s">
        <v>30</v>
      </c>
      <c r="R3" s="29">
        <f>COUNTIF(Table15[[#This Row],[Fertility Issues]:[Respiratory Illnesses ]], "1")</f>
        <v>5</v>
      </c>
    </row>
    <row r="4" spans="1:18" x14ac:dyDescent="0.25">
      <c r="A4" s="2">
        <v>6</v>
      </c>
      <c r="B4" s="1"/>
      <c r="C4" s="2">
        <v>2</v>
      </c>
      <c r="D4" s="3">
        <v>21</v>
      </c>
      <c r="E4" t="s">
        <v>44</v>
      </c>
      <c r="F4" t="s">
        <v>39</v>
      </c>
      <c r="G4" s="2">
        <v>2</v>
      </c>
      <c r="H4" s="2">
        <v>0</v>
      </c>
      <c r="I4" s="2">
        <v>1</v>
      </c>
      <c r="J4" s="2">
        <v>0</v>
      </c>
      <c r="K4" s="2">
        <v>1</v>
      </c>
      <c r="L4" s="2">
        <v>1</v>
      </c>
      <c r="M4" s="2">
        <v>0</v>
      </c>
      <c r="N4" s="2">
        <v>0</v>
      </c>
      <c r="O4" t="s">
        <v>49</v>
      </c>
      <c r="P4" t="s">
        <v>30</v>
      </c>
      <c r="Q4" t="s">
        <v>31</v>
      </c>
      <c r="R4" s="29">
        <f>COUNTIF(Table15[[#This Row],[Fertility Issues]:[Respiratory Illnesses ]], "1")</f>
        <v>3</v>
      </c>
    </row>
    <row r="5" spans="1:18" x14ac:dyDescent="0.25">
      <c r="A5" s="2">
        <v>7</v>
      </c>
      <c r="B5" s="1"/>
      <c r="C5" s="2">
        <v>2</v>
      </c>
      <c r="D5" s="3">
        <v>18</v>
      </c>
      <c r="E5" t="s">
        <v>50</v>
      </c>
      <c r="F5" t="s">
        <v>39</v>
      </c>
      <c r="G5" s="2">
        <v>2</v>
      </c>
      <c r="H5" s="2">
        <v>1</v>
      </c>
      <c r="I5" s="2">
        <v>1</v>
      </c>
      <c r="J5" s="2">
        <v>1</v>
      </c>
      <c r="K5" s="2">
        <v>1</v>
      </c>
      <c r="L5" s="2">
        <v>1</v>
      </c>
      <c r="M5" s="2">
        <v>1</v>
      </c>
      <c r="N5" s="2">
        <v>0</v>
      </c>
      <c r="O5" t="s">
        <v>49</v>
      </c>
      <c r="P5" t="s">
        <v>31</v>
      </c>
      <c r="Q5" t="s">
        <v>31</v>
      </c>
      <c r="R5" s="29">
        <f>COUNTIF(Table15[[#This Row],[Fertility Issues]:[Respiratory Illnesses ]], "1")</f>
        <v>5</v>
      </c>
    </row>
    <row r="6" spans="1:18" x14ac:dyDescent="0.25">
      <c r="A6" s="2">
        <v>8</v>
      </c>
      <c r="B6" s="1"/>
      <c r="C6" s="2">
        <v>1</v>
      </c>
      <c r="D6" s="3">
        <v>25</v>
      </c>
      <c r="E6" t="s">
        <v>51</v>
      </c>
      <c r="F6" t="s">
        <v>45</v>
      </c>
      <c r="G6" s="2">
        <v>2</v>
      </c>
      <c r="H6" s="2">
        <v>1</v>
      </c>
      <c r="I6" s="2">
        <v>1</v>
      </c>
      <c r="J6" s="2">
        <v>1</v>
      </c>
      <c r="K6" s="2">
        <v>1</v>
      </c>
      <c r="L6" s="2">
        <v>1</v>
      </c>
      <c r="M6" s="2">
        <v>1</v>
      </c>
      <c r="N6" s="2">
        <v>0</v>
      </c>
      <c r="O6" t="s">
        <v>52</v>
      </c>
      <c r="P6" t="s">
        <v>30</v>
      </c>
      <c r="Q6" t="s">
        <v>31</v>
      </c>
      <c r="R6" s="29">
        <f>COUNTIF(Table15[[#This Row],[Fertility Issues]:[Respiratory Illnesses ]], "1")</f>
        <v>5</v>
      </c>
    </row>
    <row r="7" spans="1:18" x14ac:dyDescent="0.25">
      <c r="A7" s="2">
        <v>9</v>
      </c>
      <c r="B7" s="1"/>
      <c r="C7" s="2">
        <v>2</v>
      </c>
      <c r="D7" s="2">
        <v>24</v>
      </c>
      <c r="E7" t="s">
        <v>50</v>
      </c>
      <c r="F7" t="s">
        <v>53</v>
      </c>
      <c r="G7" s="2">
        <v>1</v>
      </c>
      <c r="H7" s="2">
        <v>1</v>
      </c>
      <c r="I7" s="2">
        <v>1</v>
      </c>
      <c r="J7" s="2">
        <v>1</v>
      </c>
      <c r="K7" s="2">
        <v>1</v>
      </c>
      <c r="L7" s="2">
        <v>1</v>
      </c>
      <c r="M7" s="2">
        <v>1</v>
      </c>
      <c r="N7" s="2">
        <v>0</v>
      </c>
      <c r="O7" t="s">
        <v>88</v>
      </c>
      <c r="P7" t="s">
        <v>30</v>
      </c>
      <c r="Q7" t="s">
        <v>54</v>
      </c>
      <c r="R7" s="29">
        <f>COUNTIF(Table15[[#This Row],[Fertility Issues]:[Respiratory Illnesses ]], "1")</f>
        <v>5</v>
      </c>
    </row>
    <row r="8" spans="1:18" x14ac:dyDescent="0.25">
      <c r="A8" s="2">
        <v>13</v>
      </c>
      <c r="B8" s="1"/>
      <c r="C8" s="2">
        <v>2</v>
      </c>
      <c r="D8" s="3">
        <v>19</v>
      </c>
      <c r="E8" t="s">
        <v>51</v>
      </c>
      <c r="F8" t="s">
        <v>39</v>
      </c>
      <c r="G8" s="2">
        <v>1</v>
      </c>
      <c r="H8" s="2">
        <v>1</v>
      </c>
      <c r="I8" s="2">
        <v>1</v>
      </c>
      <c r="J8" s="2">
        <v>0</v>
      </c>
      <c r="K8" s="2">
        <v>0</v>
      </c>
      <c r="L8" s="2">
        <v>1</v>
      </c>
      <c r="M8" s="2">
        <v>1</v>
      </c>
      <c r="N8" s="2">
        <v>0</v>
      </c>
      <c r="O8" t="s">
        <v>49</v>
      </c>
      <c r="P8" t="s">
        <v>30</v>
      </c>
      <c r="Q8" t="s">
        <v>54</v>
      </c>
      <c r="R8" s="29">
        <f>COUNTIF(Table15[[#This Row],[Fertility Issues]:[Respiratory Illnesses ]], "1")</f>
        <v>3</v>
      </c>
    </row>
    <row r="9" spans="1:18" x14ac:dyDescent="0.25">
      <c r="A9" s="2">
        <v>14</v>
      </c>
      <c r="B9" s="1"/>
      <c r="C9" s="2">
        <v>1</v>
      </c>
      <c r="D9" s="3">
        <v>22</v>
      </c>
      <c r="E9" t="s">
        <v>37</v>
      </c>
      <c r="F9" t="s">
        <v>97</v>
      </c>
      <c r="G9" s="2">
        <v>1</v>
      </c>
      <c r="H9" s="2">
        <v>1</v>
      </c>
      <c r="I9" s="2">
        <v>1</v>
      </c>
      <c r="J9" s="2">
        <v>1</v>
      </c>
      <c r="K9" s="2">
        <v>1</v>
      </c>
      <c r="L9" s="2">
        <v>1</v>
      </c>
      <c r="M9" s="2">
        <v>0</v>
      </c>
      <c r="N9" s="2">
        <v>0</v>
      </c>
      <c r="O9" t="s">
        <v>60</v>
      </c>
      <c r="P9" t="s">
        <v>30</v>
      </c>
      <c r="Q9" t="s">
        <v>31</v>
      </c>
      <c r="R9" s="29">
        <f>COUNTIF(Table15[[#This Row],[Fertility Issues]:[Respiratory Illnesses ]], "1")</f>
        <v>5</v>
      </c>
    </row>
    <row r="10" spans="1:18" x14ac:dyDescent="0.25">
      <c r="A10" s="2">
        <v>15</v>
      </c>
      <c r="B10" s="1"/>
      <c r="C10" s="2">
        <v>2</v>
      </c>
      <c r="D10" s="3">
        <v>22</v>
      </c>
      <c r="E10" t="s">
        <v>51</v>
      </c>
      <c r="F10" t="s">
        <v>53</v>
      </c>
      <c r="G10" s="2">
        <v>3</v>
      </c>
      <c r="H10" s="2">
        <v>1</v>
      </c>
      <c r="I10" s="2">
        <v>1</v>
      </c>
      <c r="J10" s="2">
        <v>0</v>
      </c>
      <c r="K10" s="2">
        <v>0</v>
      </c>
      <c r="L10" s="2">
        <v>0</v>
      </c>
      <c r="M10" s="2">
        <v>0</v>
      </c>
      <c r="N10" s="2">
        <v>0</v>
      </c>
      <c r="O10" t="s">
        <v>61</v>
      </c>
      <c r="P10" t="s">
        <v>31</v>
      </c>
      <c r="Q10" t="s">
        <v>31</v>
      </c>
      <c r="R10" s="29">
        <f>COUNTIF(Table15[[#This Row],[Fertility Issues]:[Respiratory Illnesses ]], "1")</f>
        <v>2</v>
      </c>
    </row>
    <row r="11" spans="1:18" x14ac:dyDescent="0.25">
      <c r="A11" s="2">
        <v>16</v>
      </c>
      <c r="B11" s="1"/>
      <c r="C11" s="2">
        <v>1</v>
      </c>
      <c r="D11" s="3">
        <v>23</v>
      </c>
      <c r="E11" t="s">
        <v>28</v>
      </c>
      <c r="F11" t="s">
        <v>53</v>
      </c>
      <c r="G11" s="2">
        <v>1</v>
      </c>
      <c r="H11" s="2">
        <v>1</v>
      </c>
      <c r="I11" s="2">
        <v>1</v>
      </c>
      <c r="J11" s="2">
        <v>1</v>
      </c>
      <c r="K11" s="2">
        <v>1</v>
      </c>
      <c r="L11" s="2">
        <v>1</v>
      </c>
      <c r="M11" s="2">
        <v>1</v>
      </c>
      <c r="N11" s="2">
        <v>0</v>
      </c>
      <c r="O11" t="s">
        <v>49</v>
      </c>
      <c r="P11" t="s">
        <v>31</v>
      </c>
      <c r="Q11" t="s">
        <v>31</v>
      </c>
      <c r="R11" s="29">
        <f>COUNTIF(Table15[[#This Row],[Fertility Issues]:[Respiratory Illnesses ]], "1")</f>
        <v>5</v>
      </c>
    </row>
    <row r="12" spans="1:18" x14ac:dyDescent="0.25">
      <c r="A12" s="2">
        <v>17</v>
      </c>
      <c r="B12" s="1"/>
      <c r="C12" s="2">
        <v>1</v>
      </c>
      <c r="D12" s="3">
        <v>23</v>
      </c>
      <c r="E12" t="s">
        <v>28</v>
      </c>
      <c r="F12" t="s">
        <v>45</v>
      </c>
      <c r="G12" s="2">
        <v>3</v>
      </c>
      <c r="H12" s="2">
        <v>0</v>
      </c>
      <c r="I12" s="2">
        <v>1</v>
      </c>
      <c r="J12" s="2">
        <v>0</v>
      </c>
      <c r="K12" s="2">
        <v>1</v>
      </c>
      <c r="L12" s="2">
        <v>1</v>
      </c>
      <c r="M12" s="2">
        <v>0</v>
      </c>
      <c r="N12" s="2">
        <v>0</v>
      </c>
      <c r="O12" t="s">
        <v>62</v>
      </c>
      <c r="P12" t="s">
        <v>30</v>
      </c>
      <c r="Q12" t="s">
        <v>30</v>
      </c>
      <c r="R12" s="29">
        <f>COUNTIF(Table15[[#This Row],[Fertility Issues]:[Respiratory Illnesses ]], "1")</f>
        <v>3</v>
      </c>
    </row>
    <row r="13" spans="1:18" x14ac:dyDescent="0.25">
      <c r="A13" s="2">
        <v>18</v>
      </c>
      <c r="B13" s="1"/>
      <c r="C13" s="2">
        <v>2</v>
      </c>
      <c r="D13" s="3">
        <v>19</v>
      </c>
      <c r="E13" t="s">
        <v>63</v>
      </c>
      <c r="F13" t="s">
        <v>39</v>
      </c>
      <c r="G13" s="2">
        <v>2</v>
      </c>
      <c r="H13" s="2">
        <v>1</v>
      </c>
      <c r="I13" s="2">
        <v>1</v>
      </c>
      <c r="J13" s="2">
        <v>0</v>
      </c>
      <c r="K13" s="2">
        <v>1</v>
      </c>
      <c r="L13" s="2">
        <v>1</v>
      </c>
      <c r="M13" s="2">
        <v>0</v>
      </c>
      <c r="N13" s="2">
        <v>0</v>
      </c>
      <c r="O13" t="s">
        <v>49</v>
      </c>
      <c r="P13" t="s">
        <v>30</v>
      </c>
      <c r="Q13" t="s">
        <v>31</v>
      </c>
      <c r="R13" s="29">
        <f>COUNTIF(Table15[[#This Row],[Fertility Issues]:[Respiratory Illnesses ]], "1")</f>
        <v>4</v>
      </c>
    </row>
    <row r="14" spans="1:18" x14ac:dyDescent="0.25">
      <c r="A14" s="2">
        <v>19</v>
      </c>
      <c r="B14" s="1"/>
      <c r="C14" s="2">
        <v>2</v>
      </c>
      <c r="D14" s="2">
        <v>23</v>
      </c>
      <c r="E14" t="s">
        <v>51</v>
      </c>
      <c r="F14" t="s">
        <v>29</v>
      </c>
      <c r="G14" s="2">
        <v>2</v>
      </c>
      <c r="H14" s="2">
        <v>1</v>
      </c>
      <c r="I14" s="2">
        <v>1</v>
      </c>
      <c r="J14" s="2">
        <v>0</v>
      </c>
      <c r="K14" s="2">
        <v>0</v>
      </c>
      <c r="L14" s="2">
        <v>1</v>
      </c>
      <c r="M14" s="2">
        <v>0</v>
      </c>
      <c r="N14" s="2">
        <v>0</v>
      </c>
      <c r="O14" t="s">
        <v>64</v>
      </c>
      <c r="P14" t="s">
        <v>30</v>
      </c>
      <c r="Q14" t="s">
        <v>31</v>
      </c>
      <c r="R14" s="29">
        <f>COUNTIF(Table15[[#This Row],[Fertility Issues]:[Respiratory Illnesses ]], "1")</f>
        <v>3</v>
      </c>
    </row>
    <row r="15" spans="1:18" x14ac:dyDescent="0.25">
      <c r="A15" s="2">
        <v>22</v>
      </c>
      <c r="B15" s="1"/>
      <c r="C15" s="2">
        <v>1</v>
      </c>
      <c r="D15" s="3">
        <v>22</v>
      </c>
      <c r="E15" t="s">
        <v>63</v>
      </c>
      <c r="F15" t="s">
        <v>29</v>
      </c>
      <c r="G15" s="2">
        <v>1</v>
      </c>
      <c r="H15" s="2">
        <v>1</v>
      </c>
      <c r="I15" s="2">
        <v>1</v>
      </c>
      <c r="J15" s="2">
        <v>1</v>
      </c>
      <c r="K15" s="2">
        <v>1</v>
      </c>
      <c r="L15" s="2">
        <v>1</v>
      </c>
      <c r="M15" s="2">
        <v>1</v>
      </c>
      <c r="N15" s="2">
        <v>0</v>
      </c>
      <c r="O15" t="s">
        <v>91</v>
      </c>
      <c r="P15" t="s">
        <v>31</v>
      </c>
      <c r="Q15" t="s">
        <v>54</v>
      </c>
      <c r="R15" s="29">
        <f>COUNTIF(Table15[[#This Row],[Fertility Issues]:[Respiratory Illnesses ]], "1")</f>
        <v>5</v>
      </c>
    </row>
    <row r="16" spans="1:18" x14ac:dyDescent="0.25">
      <c r="A16" s="2">
        <v>23</v>
      </c>
      <c r="B16" s="1"/>
      <c r="C16" s="2">
        <v>2</v>
      </c>
      <c r="D16" s="3">
        <v>19</v>
      </c>
      <c r="E16" t="s">
        <v>63</v>
      </c>
      <c r="F16" t="s">
        <v>53</v>
      </c>
      <c r="G16" s="2">
        <v>2</v>
      </c>
      <c r="H16" s="2">
        <v>1</v>
      </c>
      <c r="I16" s="2">
        <v>1</v>
      </c>
      <c r="J16" s="2">
        <v>1</v>
      </c>
      <c r="K16" s="2">
        <v>1</v>
      </c>
      <c r="L16" s="2">
        <v>1</v>
      </c>
      <c r="M16" s="2">
        <v>0</v>
      </c>
      <c r="N16" s="2">
        <v>0</v>
      </c>
      <c r="O16" t="s">
        <v>70</v>
      </c>
      <c r="P16" t="s">
        <v>30</v>
      </c>
      <c r="Q16" t="s">
        <v>31</v>
      </c>
      <c r="R16" s="29">
        <f>COUNTIF(Table15[[#This Row],[Fertility Issues]:[Respiratory Illnesses ]], "1")</f>
        <v>5</v>
      </c>
    </row>
    <row r="17" spans="1:18" x14ac:dyDescent="0.25">
      <c r="A17" s="2">
        <v>24</v>
      </c>
      <c r="B17" s="1"/>
      <c r="C17" s="2">
        <v>1</v>
      </c>
      <c r="D17" s="3">
        <v>19</v>
      </c>
      <c r="E17" t="s">
        <v>38</v>
      </c>
      <c r="F17" t="s">
        <v>53</v>
      </c>
      <c r="G17" s="2">
        <v>2</v>
      </c>
      <c r="H17" s="2">
        <v>0</v>
      </c>
      <c r="I17" s="2">
        <v>1</v>
      </c>
      <c r="J17" s="2">
        <v>0</v>
      </c>
      <c r="K17" s="2">
        <v>1</v>
      </c>
      <c r="L17" s="2">
        <v>1</v>
      </c>
      <c r="M17" s="2">
        <v>0</v>
      </c>
      <c r="N17" s="2">
        <v>0</v>
      </c>
      <c r="O17" t="s">
        <v>92</v>
      </c>
      <c r="P17" t="s">
        <v>31</v>
      </c>
      <c r="Q17" t="s">
        <v>30</v>
      </c>
      <c r="R17" s="29">
        <f>COUNTIF(Table15[[#This Row],[Fertility Issues]:[Respiratory Illnesses ]], "1")</f>
        <v>3</v>
      </c>
    </row>
    <row r="18" spans="1:18" x14ac:dyDescent="0.25">
      <c r="A18" s="2">
        <v>25</v>
      </c>
      <c r="B18" s="1"/>
      <c r="C18" s="2">
        <v>2</v>
      </c>
      <c r="D18" s="3">
        <v>22</v>
      </c>
      <c r="E18" t="s">
        <v>63</v>
      </c>
      <c r="F18" t="s">
        <v>97</v>
      </c>
      <c r="G18" s="2">
        <v>1</v>
      </c>
      <c r="H18" s="2">
        <v>1</v>
      </c>
      <c r="I18" s="2">
        <v>1</v>
      </c>
      <c r="J18" s="2">
        <v>1</v>
      </c>
      <c r="K18" s="2">
        <v>1</v>
      </c>
      <c r="L18" s="2">
        <v>1</v>
      </c>
      <c r="M18" s="2">
        <v>0</v>
      </c>
      <c r="N18" s="2">
        <v>0</v>
      </c>
      <c r="O18" t="s">
        <v>93</v>
      </c>
      <c r="P18" t="s">
        <v>30</v>
      </c>
      <c r="Q18" t="s">
        <v>31</v>
      </c>
      <c r="R18" s="29">
        <f>COUNTIF(Table15[[#This Row],[Fertility Issues]:[Respiratory Illnesses ]], "1")</f>
        <v>5</v>
      </c>
    </row>
    <row r="19" spans="1:18" x14ac:dyDescent="0.25">
      <c r="A19" s="2">
        <v>26</v>
      </c>
      <c r="B19" s="1"/>
      <c r="C19" s="2">
        <v>1</v>
      </c>
      <c r="D19" s="3">
        <v>20</v>
      </c>
      <c r="E19" t="s">
        <v>38</v>
      </c>
      <c r="F19" t="s">
        <v>53</v>
      </c>
      <c r="G19" s="2">
        <v>3</v>
      </c>
      <c r="H19" s="2">
        <v>0</v>
      </c>
      <c r="I19" s="2">
        <v>1</v>
      </c>
      <c r="J19" s="2">
        <v>0</v>
      </c>
      <c r="K19" s="2">
        <v>0</v>
      </c>
      <c r="L19" s="2">
        <v>1</v>
      </c>
      <c r="M19" s="2">
        <v>0</v>
      </c>
      <c r="N19" s="2">
        <v>0</v>
      </c>
      <c r="O19" t="s">
        <v>49</v>
      </c>
      <c r="P19" t="s">
        <v>31</v>
      </c>
      <c r="Q19" t="s">
        <v>31</v>
      </c>
      <c r="R19" s="29">
        <f>COUNTIF(Table15[[#This Row],[Fertility Issues]:[Respiratory Illnesses ]], "1")</f>
        <v>2</v>
      </c>
    </row>
    <row r="20" spans="1:18" x14ac:dyDescent="0.25">
      <c r="A20" s="2">
        <v>30</v>
      </c>
      <c r="B20" s="1"/>
      <c r="C20" s="2">
        <v>2</v>
      </c>
      <c r="D20" s="2">
        <v>22</v>
      </c>
      <c r="E20" t="s">
        <v>28</v>
      </c>
      <c r="F20" t="s">
        <v>39</v>
      </c>
      <c r="G20" s="2">
        <v>1</v>
      </c>
      <c r="H20" s="2">
        <v>1</v>
      </c>
      <c r="I20" s="2">
        <v>1</v>
      </c>
      <c r="J20" s="2">
        <v>0</v>
      </c>
      <c r="K20" s="2">
        <v>1</v>
      </c>
      <c r="L20" s="2">
        <v>1</v>
      </c>
      <c r="M20" s="2">
        <v>1</v>
      </c>
      <c r="N20" s="2">
        <v>0</v>
      </c>
      <c r="O20" t="s">
        <v>95</v>
      </c>
      <c r="P20" t="s">
        <v>30</v>
      </c>
      <c r="Q20" t="s">
        <v>54</v>
      </c>
      <c r="R20" s="29">
        <f>COUNTIF(Table15[[#This Row],[Fertility Issues]:[Respiratory Illnesses ]], "1")</f>
        <v>4</v>
      </c>
    </row>
    <row r="21" spans="1:18" x14ac:dyDescent="0.25">
      <c r="A21" s="2">
        <v>31</v>
      </c>
      <c r="B21" s="1"/>
      <c r="C21" s="2">
        <v>1</v>
      </c>
      <c r="D21" s="2">
        <v>19</v>
      </c>
      <c r="E21" t="s">
        <v>28</v>
      </c>
      <c r="F21" t="s">
        <v>39</v>
      </c>
      <c r="G21" s="2">
        <v>1</v>
      </c>
      <c r="H21" s="2">
        <v>1</v>
      </c>
      <c r="I21" s="2">
        <v>1</v>
      </c>
      <c r="J21" s="2">
        <v>0</v>
      </c>
      <c r="K21" s="2">
        <v>1</v>
      </c>
      <c r="L21" s="2">
        <v>1</v>
      </c>
      <c r="M21" s="2">
        <v>0</v>
      </c>
      <c r="N21" s="2">
        <v>0</v>
      </c>
      <c r="O21" t="s">
        <v>96</v>
      </c>
      <c r="P21" t="s">
        <v>31</v>
      </c>
      <c r="Q21" t="s">
        <v>54</v>
      </c>
      <c r="R21" s="29">
        <f>COUNTIF(Table15[[#This Row],[Fertility Issues]:[Respiratory Illnesses ]], "1")</f>
        <v>4</v>
      </c>
    </row>
    <row r="23" spans="1:18" x14ac:dyDescent="0.25">
      <c r="C23" s="30" t="s">
        <v>108</v>
      </c>
      <c r="D23" s="30"/>
      <c r="E23" s="30"/>
    </row>
    <row r="24" spans="1:18" x14ac:dyDescent="0.25">
      <c r="A24" s="23" t="s">
        <v>24</v>
      </c>
      <c r="B24" s="21" t="s">
        <v>109</v>
      </c>
      <c r="C24" s="21" t="s">
        <v>30</v>
      </c>
      <c r="D24" s="22" t="s">
        <v>31</v>
      </c>
      <c r="E24" s="21" t="s">
        <v>54</v>
      </c>
    </row>
    <row r="25" spans="1:18" x14ac:dyDescent="0.25">
      <c r="A25" t="s">
        <v>102</v>
      </c>
      <c r="B25">
        <f>COUNTIF($O$2:$O$21, "*It's not my cup of tea*")</f>
        <v>17</v>
      </c>
      <c r="C25">
        <f>COUNTIFS($O$2:$O$21,"*It's not my cup of tea*",$Q$2:$Q$21,"Yes")</f>
        <v>1</v>
      </c>
      <c r="D25">
        <f>COUNTIFS($O$2:$O$21,"*It's not my cup of tea*",$Q$2:$Q$21,"No")</f>
        <v>11</v>
      </c>
      <c r="E25">
        <f>COUNTIFS($O$2:$O$21,"*It's not my cup of tea*",$Q$2:$Q$21,"Maybe")</f>
        <v>5</v>
      </c>
    </row>
    <row r="26" spans="1:18" x14ac:dyDescent="0.25">
      <c r="A26" t="s">
        <v>103</v>
      </c>
      <c r="B26">
        <f>COUNTIF($O$2:$O$21, "*It destroys the body*")</f>
        <v>10</v>
      </c>
      <c r="C26">
        <f>COUNTIFS($O$2:$O$21, "*It destroys the body*", $Q2:$Q21, "Yes")</f>
        <v>1</v>
      </c>
      <c r="D26">
        <f>COUNTIFS($O$2:$O$21, "*It destroys the body*", $Q2:$Q21, "No")</f>
        <v>6</v>
      </c>
      <c r="E26">
        <f>COUNTIFS($O$2:$O$21, "*It destroys the body*", $Q2:$Q21, "Maybe")</f>
        <v>3</v>
      </c>
    </row>
    <row r="27" spans="1:18" x14ac:dyDescent="0.25">
      <c r="A27" t="s">
        <v>104</v>
      </c>
      <c r="B27">
        <f>COUNTIF($O$2:$O$21, "*Societal Standards*")</f>
        <v>4</v>
      </c>
      <c r="C27">
        <f>COUNTIFS($O$2:$O$21, "*Societal Standards*", $Q2:$Q$21, "Yes")</f>
        <v>1</v>
      </c>
      <c r="D27">
        <f>COUNTIFS($O$2:$O$21, "*Societal Standards*", $Q2:$Q$21, "No")</f>
        <v>3</v>
      </c>
      <c r="E27">
        <f>COUNTIFS($O$2:$O$21, "*Societal Standards*", $Q2:$Q$21, "Maybe")</f>
        <v>0</v>
      </c>
    </row>
    <row r="28" spans="1:18" x14ac:dyDescent="0.25">
      <c r="A28" t="s">
        <v>105</v>
      </c>
      <c r="B28">
        <f>COUNTIF($O$2:$O$21, "*Health Issues*")</f>
        <v>9</v>
      </c>
      <c r="C28">
        <f>COUNTIFS($O$2:$O$21, "*Health Issues*", $Q2:$Q$21, "Yes")</f>
        <v>2</v>
      </c>
      <c r="D28">
        <f>COUNTIFS($O$2:$O$21, "*Health Issues*", $Q2:$Q$21, "No")</f>
        <v>6</v>
      </c>
      <c r="E28">
        <f>COUNTIFS($O$2:$O$21, "*Health Issues*", $Q2:$Q$21, "Maybe")</f>
        <v>1</v>
      </c>
    </row>
    <row r="29" spans="1:18" x14ac:dyDescent="0.25">
      <c r="A29" t="s">
        <v>106</v>
      </c>
      <c r="B29">
        <f>COUNTIF($O$2:$O$21, "*It's a financial liability (every cent counts)*")</f>
        <v>4</v>
      </c>
      <c r="C29">
        <f>COUNTIFS($O$2:$O$21, "*It's a financial liability (every cent counts)*", $Q$2:$Q$21, "Yes")</f>
        <v>1</v>
      </c>
      <c r="D29">
        <f>COUNTIFS($O$2:$O$21, "*It's a financial liability (every cent counts)*", $Q$2:$Q$21, "No")</f>
        <v>3</v>
      </c>
      <c r="E29">
        <f>COUNTIFS($O$2:$O$21, "*It's a financial liability (every cent counts)*", $Q$2:$Q$21, "Maybe")</f>
        <v>0</v>
      </c>
    </row>
    <row r="30" spans="1:18" x14ac:dyDescent="0.25">
      <c r="A30" t="s">
        <v>107</v>
      </c>
      <c r="B30">
        <f>COUNTIF($O$2:$O$21, "*It smells bad*")</f>
        <v>1</v>
      </c>
      <c r="C30">
        <f>COUNTIFS($O$2:$O$21, "*It smells bad*", $Q$2:$Q$21, "Yes" )</f>
        <v>0</v>
      </c>
      <c r="D30">
        <f>COUNTIFS($O$2:$O$21, "*It smells bad*", $Q$2:$Q$21, "No" )</f>
        <v>1</v>
      </c>
      <c r="E30">
        <f>COUNTIFS($O$2:$O$21, "*It smells bad*", $Q$2:$Q$21, "Maybe" )</f>
        <v>0</v>
      </c>
    </row>
    <row r="61" spans="1:4" x14ac:dyDescent="0.25">
      <c r="C61" s="31" t="s">
        <v>110</v>
      </c>
      <c r="D61" s="31"/>
    </row>
    <row r="62" spans="1:4" x14ac:dyDescent="0.25">
      <c r="A62" s="23" t="s">
        <v>24</v>
      </c>
      <c r="B62" s="21" t="s">
        <v>109</v>
      </c>
      <c r="C62" s="21" t="s">
        <v>30</v>
      </c>
      <c r="D62" s="22" t="s">
        <v>31</v>
      </c>
    </row>
    <row r="63" spans="1:4" x14ac:dyDescent="0.25">
      <c r="A63" t="s">
        <v>102</v>
      </c>
      <c r="B63">
        <f>COUNTIF($O$2:$O$21, "*It's not my cup of tea*")</f>
        <v>17</v>
      </c>
      <c r="C63">
        <f>COUNTIFS($O$2:$O$21,"*It's not my cup of tea*",$P$2:$P$21,"Yes")</f>
        <v>10</v>
      </c>
      <c r="D63">
        <f>COUNTIFS($O$2:$O$21,"*It's not my cup of tea*",$P$2:$P$21,"No")</f>
        <v>7</v>
      </c>
    </row>
    <row r="64" spans="1:4" x14ac:dyDescent="0.25">
      <c r="A64" t="s">
        <v>103</v>
      </c>
      <c r="B64">
        <f>COUNTIF($O$2:$O$21, "*It destroys the body*")</f>
        <v>10</v>
      </c>
      <c r="C64">
        <f>COUNTIFS($O$2:$O$21, "*It destroys the body*", $P2:$P21, "Yes")</f>
        <v>6</v>
      </c>
      <c r="D64">
        <f>COUNTIFS($O$2:$O$21, "*It destroys the body*", $Q4:$Q23, "No")</f>
        <v>4</v>
      </c>
    </row>
    <row r="65" spans="1:4" x14ac:dyDescent="0.25">
      <c r="A65" t="s">
        <v>104</v>
      </c>
      <c r="B65">
        <f>COUNTIF($O$2:$O$21, "*Societal Standards*")</f>
        <v>4</v>
      </c>
      <c r="C65">
        <f>COUNTIFS($O$2:$O$21, "*Societal Standards*", $P$2:$P$21, "Yes")</f>
        <v>1</v>
      </c>
      <c r="D65">
        <f>COUNTIFS($O$2:$O$21, "*Societal Standards*", $P2:$P$21, "No")</f>
        <v>3</v>
      </c>
    </row>
    <row r="66" spans="1:4" x14ac:dyDescent="0.25">
      <c r="A66" t="s">
        <v>105</v>
      </c>
      <c r="B66">
        <f>COUNTIF($O$2:$O$21, "*Health Issues*")</f>
        <v>9</v>
      </c>
      <c r="C66">
        <f>COUNTIFS($O$2:$O$21, "*Health Issues*", $P$2:$P$21, "Yes")</f>
        <v>6</v>
      </c>
      <c r="D66">
        <f>COUNTIFS($O$2:$O$21, "*Health Issues*", $P$2:$P$21, "No")</f>
        <v>3</v>
      </c>
    </row>
    <row r="67" spans="1:4" x14ac:dyDescent="0.25">
      <c r="A67" t="s">
        <v>106</v>
      </c>
      <c r="B67">
        <f>COUNTIF($O$2:$O$21, "*It's a financial liability (every cent counts)*")</f>
        <v>4</v>
      </c>
      <c r="C67">
        <f>COUNTIFS($O$2:$O$21, "*It's a financial liability (every cent counts)*", $P$2:$P$21, "Yes")</f>
        <v>3</v>
      </c>
      <c r="D67">
        <f>COUNTIFS($O$2:$O$21, "*It's a financial liability (every cent counts)*", $P$2:$P$21, "No")</f>
        <v>1</v>
      </c>
    </row>
    <row r="68" spans="1:4" x14ac:dyDescent="0.25">
      <c r="A68" t="s">
        <v>107</v>
      </c>
      <c r="B68">
        <f>COUNTIF($O$2:$O$21, "*It smells bad*")</f>
        <v>1</v>
      </c>
      <c r="C68">
        <f>COUNTIFS($O$2:$O$21, "*It smells bad*", $P$2:$P$21, "Yes" )</f>
        <v>0</v>
      </c>
      <c r="D68">
        <f>COUNTIFS($O$2:$O$21, "*It smells bad*", $P$2:$P$21, "No" )</f>
        <v>1</v>
      </c>
    </row>
  </sheetData>
  <mergeCells count="2">
    <mergeCell ref="C23:E23"/>
    <mergeCell ref="C61:D61"/>
  </mergeCells>
  <pageMargins left="0.7" right="0.7" top="0.75" bottom="0.75" header="0.3" footer="0.3"/>
  <pageSetup paperSize="9" orientation="portrait" horizontalDpi="300" verticalDpi="0" r:id="rId1"/>
  <drawing r:id="rId2"/>
  <legacyDrawing r:id="rId3"/>
  <tableParts count="1">
    <tablePart r:id="rId4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667A21-D7CC-43FE-B2D6-74F345145F5A}">
  <dimension ref="P3:AA30"/>
  <sheetViews>
    <sheetView workbookViewId="0">
      <selection activeCell="N17" sqref="N17"/>
    </sheetView>
  </sheetViews>
  <sheetFormatPr defaultRowHeight="15" x14ac:dyDescent="0.25"/>
  <sheetData>
    <row r="3" spans="17:27" x14ac:dyDescent="0.25">
      <c r="Q3" s="32"/>
      <c r="R3" s="32"/>
      <c r="S3" s="32"/>
      <c r="T3" s="32"/>
      <c r="U3" s="32"/>
      <c r="V3" s="32"/>
      <c r="W3" s="32"/>
      <c r="X3" s="32"/>
      <c r="Y3" s="32"/>
      <c r="Z3" s="32"/>
      <c r="AA3" s="32"/>
    </row>
    <row r="4" spans="17:27" x14ac:dyDescent="0.25">
      <c r="Q4" s="32"/>
      <c r="R4" s="32"/>
      <c r="S4" s="32"/>
      <c r="T4" s="32"/>
      <c r="U4" s="32"/>
      <c r="V4" s="32"/>
      <c r="W4" s="32"/>
      <c r="X4" s="32"/>
      <c r="Y4" s="32"/>
      <c r="Z4" s="32"/>
      <c r="AA4" s="32"/>
    </row>
    <row r="5" spans="17:27" x14ac:dyDescent="0.25">
      <c r="Q5" s="32"/>
      <c r="R5" s="32"/>
      <c r="S5" s="32"/>
      <c r="T5" s="32"/>
      <c r="U5" s="32"/>
      <c r="V5" s="32"/>
      <c r="W5" s="32"/>
      <c r="X5" s="32"/>
      <c r="Y5" s="32"/>
      <c r="Z5" s="32"/>
      <c r="AA5" s="32"/>
    </row>
    <row r="6" spans="17:27" x14ac:dyDescent="0.25"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</row>
    <row r="7" spans="17:27" x14ac:dyDescent="0.25">
      <c r="Q7" s="32"/>
      <c r="R7" s="32"/>
      <c r="S7" s="32"/>
      <c r="T7" s="32"/>
      <c r="U7" s="32"/>
      <c r="V7" s="32"/>
      <c r="W7" s="32"/>
      <c r="X7" s="32"/>
      <c r="Y7" s="32"/>
      <c r="Z7" s="32"/>
      <c r="AA7" s="32"/>
    </row>
    <row r="8" spans="17:27" x14ac:dyDescent="0.25">
      <c r="Q8" s="32"/>
      <c r="R8" s="32"/>
      <c r="S8" s="32"/>
      <c r="T8" s="32"/>
      <c r="U8" s="32"/>
      <c r="V8" s="32"/>
      <c r="W8" s="32"/>
      <c r="X8" s="32"/>
      <c r="Y8" s="32"/>
      <c r="Z8" s="32"/>
      <c r="AA8" s="32"/>
    </row>
    <row r="9" spans="17:27" x14ac:dyDescent="0.25">
      <c r="Q9" s="32"/>
      <c r="R9" s="32"/>
      <c r="S9" s="32"/>
      <c r="T9" s="32"/>
      <c r="U9" s="32"/>
      <c r="V9" s="32"/>
      <c r="W9" s="32"/>
      <c r="X9" s="32"/>
      <c r="Y9" s="32"/>
      <c r="Z9" s="32"/>
      <c r="AA9" s="32"/>
    </row>
    <row r="10" spans="17:27" x14ac:dyDescent="0.25">
      <c r="Q10" s="32"/>
      <c r="R10" s="32"/>
      <c r="S10" s="32"/>
      <c r="T10" s="32"/>
      <c r="U10" s="32"/>
      <c r="V10" s="32"/>
      <c r="W10" s="32"/>
      <c r="X10" s="32"/>
      <c r="Y10" s="32"/>
      <c r="Z10" s="32"/>
      <c r="AA10" s="32"/>
    </row>
    <row r="11" spans="17:27" x14ac:dyDescent="0.25">
      <c r="Q11" s="32"/>
      <c r="R11" s="32"/>
      <c r="S11" s="32"/>
      <c r="T11" s="32"/>
      <c r="U11" s="32"/>
      <c r="V11" s="32"/>
      <c r="W11" s="32"/>
      <c r="X11" s="32"/>
      <c r="Y11" s="32"/>
      <c r="Z11" s="32"/>
      <c r="AA11" s="32"/>
    </row>
    <row r="12" spans="17:27" x14ac:dyDescent="0.25">
      <c r="Q12" s="32"/>
      <c r="R12" s="32"/>
      <c r="S12" s="32"/>
      <c r="T12" s="32"/>
      <c r="U12" s="32"/>
      <c r="V12" s="32"/>
      <c r="W12" s="32"/>
      <c r="X12" s="32"/>
      <c r="Y12" s="32"/>
      <c r="Z12" s="32"/>
      <c r="AA12" s="32"/>
    </row>
    <row r="13" spans="17:27" x14ac:dyDescent="0.25">
      <c r="Q13" s="32"/>
      <c r="R13" s="32"/>
      <c r="S13" s="32"/>
      <c r="T13" s="32"/>
      <c r="U13" s="32"/>
      <c r="V13" s="32"/>
      <c r="W13" s="32"/>
      <c r="X13" s="32"/>
      <c r="Y13" s="32"/>
      <c r="Z13" s="32"/>
      <c r="AA13" s="32"/>
    </row>
    <row r="14" spans="17:27" x14ac:dyDescent="0.25">
      <c r="Q14" s="32"/>
      <c r="R14" s="32"/>
      <c r="S14" s="32"/>
      <c r="T14" s="32"/>
      <c r="U14" s="32"/>
      <c r="V14" s="32"/>
      <c r="W14" s="32"/>
      <c r="X14" s="32"/>
      <c r="Y14" s="32"/>
      <c r="Z14" s="32"/>
      <c r="AA14" s="32"/>
    </row>
    <row r="15" spans="17:27" x14ac:dyDescent="0.25">
      <c r="Q15" s="32"/>
      <c r="R15" s="32"/>
      <c r="S15" s="32"/>
      <c r="T15" s="32"/>
      <c r="U15" s="32"/>
      <c r="V15" s="32"/>
      <c r="W15" s="32"/>
      <c r="X15" s="32"/>
      <c r="Y15" s="32"/>
      <c r="Z15" s="32"/>
      <c r="AA15" s="32"/>
    </row>
    <row r="16" spans="17:27" x14ac:dyDescent="0.25">
      <c r="Q16" s="32"/>
      <c r="R16" s="32"/>
      <c r="S16" s="32"/>
      <c r="T16" s="32"/>
      <c r="U16" s="32"/>
      <c r="V16" s="32"/>
      <c r="W16" s="32"/>
      <c r="X16" s="32"/>
      <c r="Y16" s="32"/>
      <c r="Z16" s="32"/>
      <c r="AA16" s="32"/>
    </row>
    <row r="17" spans="16:27" x14ac:dyDescent="0.25">
      <c r="Q17" s="32"/>
      <c r="R17" s="32"/>
      <c r="S17" s="32"/>
      <c r="T17" s="32"/>
      <c r="U17" s="32"/>
      <c r="V17" s="32"/>
      <c r="W17" s="32"/>
      <c r="X17" s="32"/>
      <c r="Y17" s="32"/>
      <c r="Z17" s="32"/>
      <c r="AA17" s="32"/>
    </row>
    <row r="18" spans="16:27" x14ac:dyDescent="0.25">
      <c r="Q18" s="32"/>
      <c r="R18" s="32"/>
      <c r="S18" s="32"/>
      <c r="T18" s="32"/>
      <c r="U18" s="32"/>
      <c r="V18" s="32"/>
      <c r="W18" s="32"/>
      <c r="X18" s="32"/>
      <c r="Y18" s="32"/>
      <c r="Z18" s="32"/>
      <c r="AA18" s="32"/>
    </row>
    <row r="19" spans="16:27" x14ac:dyDescent="0.25">
      <c r="Q19" s="32"/>
      <c r="R19" s="32"/>
      <c r="S19" s="32"/>
      <c r="T19" s="32"/>
      <c r="U19" s="32"/>
      <c r="V19" s="32"/>
      <c r="W19" s="32"/>
      <c r="X19" s="32"/>
      <c r="Y19" s="32"/>
      <c r="Z19" s="32"/>
      <c r="AA19" s="32"/>
    </row>
    <row r="20" spans="16:27" x14ac:dyDescent="0.25">
      <c r="Q20" s="32"/>
      <c r="R20" s="32"/>
      <c r="S20" s="32"/>
      <c r="T20" s="32"/>
      <c r="U20" s="32"/>
      <c r="V20" s="32"/>
      <c r="W20" s="32"/>
      <c r="X20" s="32"/>
      <c r="Y20" s="32"/>
      <c r="Z20" s="32"/>
      <c r="AA20" s="32"/>
    </row>
    <row r="21" spans="16:27" x14ac:dyDescent="0.25">
      <c r="Q21" s="32"/>
      <c r="R21" s="32"/>
      <c r="S21" s="32"/>
      <c r="T21" s="32"/>
      <c r="U21" s="32"/>
      <c r="V21" s="32"/>
      <c r="W21" s="32"/>
      <c r="X21" s="32"/>
      <c r="Y21" s="32"/>
      <c r="Z21" s="32"/>
      <c r="AA21" s="32"/>
    </row>
    <row r="22" spans="16:27" x14ac:dyDescent="0.25">
      <c r="Q22" s="32"/>
      <c r="R22" s="32"/>
      <c r="S22" s="32"/>
      <c r="T22" s="32"/>
      <c r="U22" s="32"/>
      <c r="V22" s="32"/>
      <c r="W22" s="32"/>
      <c r="X22" s="32"/>
      <c r="Y22" s="32"/>
      <c r="Z22" s="32"/>
      <c r="AA22" s="32"/>
    </row>
    <row r="23" spans="16:27" x14ac:dyDescent="0.25">
      <c r="Q23" s="32"/>
      <c r="R23" s="32"/>
      <c r="S23" s="32"/>
      <c r="T23" s="32"/>
      <c r="U23" s="32"/>
      <c r="V23" s="32"/>
      <c r="W23" s="32"/>
      <c r="X23" s="32"/>
      <c r="Y23" s="32"/>
      <c r="Z23" s="32"/>
      <c r="AA23" s="32"/>
    </row>
    <row r="24" spans="16:27" x14ac:dyDescent="0.25">
      <c r="P24" s="32"/>
      <c r="Q24" s="32"/>
      <c r="R24" s="32"/>
      <c r="S24" s="32"/>
      <c r="T24" s="32"/>
      <c r="U24" s="32"/>
      <c r="V24" s="32"/>
      <c r="W24" s="32"/>
      <c r="X24" s="32"/>
      <c r="Y24" s="32"/>
      <c r="Z24" s="32"/>
      <c r="AA24" s="32"/>
    </row>
    <row r="25" spans="16:27" x14ac:dyDescent="0.25">
      <c r="P25" s="32"/>
      <c r="Q25" s="32"/>
      <c r="R25" s="32"/>
      <c r="S25" s="32"/>
      <c r="T25" s="32"/>
      <c r="U25" s="32"/>
      <c r="V25" s="32"/>
      <c r="W25" s="32"/>
      <c r="X25" s="32"/>
      <c r="Y25" s="32"/>
      <c r="Z25" s="32"/>
      <c r="AA25" s="32"/>
    </row>
    <row r="26" spans="16:27" x14ac:dyDescent="0.25">
      <c r="P26" s="32"/>
      <c r="Q26" s="32"/>
      <c r="R26" s="32"/>
      <c r="S26" s="32"/>
      <c r="T26" s="32"/>
      <c r="U26" s="32"/>
      <c r="V26" s="32"/>
      <c r="W26" s="32"/>
      <c r="X26" s="32"/>
      <c r="Y26" s="32"/>
      <c r="Z26" s="32"/>
      <c r="AA26" s="32"/>
    </row>
    <row r="27" spans="16:27" x14ac:dyDescent="0.25">
      <c r="P27" s="32"/>
      <c r="Q27" s="32"/>
      <c r="R27" s="32"/>
      <c r="S27" s="32"/>
      <c r="T27" s="32"/>
      <c r="U27" s="32"/>
      <c r="V27" s="32"/>
      <c r="W27" s="32"/>
      <c r="X27" s="32"/>
      <c r="Y27" s="32"/>
      <c r="Z27" s="32"/>
      <c r="AA27" s="32"/>
    </row>
    <row r="28" spans="16:27" x14ac:dyDescent="0.25">
      <c r="P28" s="32"/>
      <c r="Q28" s="32"/>
      <c r="R28" s="32"/>
      <c r="S28" s="32"/>
      <c r="T28" s="32"/>
      <c r="U28" s="32"/>
      <c r="V28" s="32"/>
      <c r="W28" s="32"/>
      <c r="X28" s="32"/>
      <c r="Y28" s="32"/>
      <c r="Z28" s="32"/>
      <c r="AA28" s="32"/>
    </row>
    <row r="29" spans="16:27" x14ac:dyDescent="0.25">
      <c r="P29" s="32"/>
      <c r="Q29" s="32"/>
      <c r="R29" s="32"/>
      <c r="S29" s="32"/>
      <c r="T29" s="32"/>
      <c r="U29" s="32"/>
      <c r="V29" s="32"/>
      <c r="W29" s="32"/>
      <c r="X29" s="32"/>
      <c r="Y29" s="32"/>
      <c r="Z29" s="32"/>
      <c r="AA29" s="32"/>
    </row>
    <row r="30" spans="16:27" x14ac:dyDescent="0.25">
      <c r="P30" s="32"/>
      <c r="Q30" s="32"/>
      <c r="R30" s="32"/>
      <c r="S30" s="32"/>
      <c r="T30" s="32"/>
      <c r="U30" s="32"/>
      <c r="V30" s="32"/>
      <c r="W30" s="32"/>
      <c r="X30" s="32"/>
      <c r="Y30" s="32"/>
      <c r="Z30" s="32"/>
      <c r="AA30" s="32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Data</vt:lpstr>
      <vt:lpstr>Demographic Data</vt:lpstr>
      <vt:lpstr>Smokers VS Non-smokers</vt:lpstr>
      <vt:lpstr>Smokers</vt:lpstr>
      <vt:lpstr>Non-Smokers</vt:lpstr>
      <vt:lpstr>Awareness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 NGUBANE</dc:creator>
  <cp:lastModifiedBy>A NGUBANE</cp:lastModifiedBy>
  <dcterms:created xsi:type="dcterms:W3CDTF">2025-05-03T22:34:02Z</dcterms:created>
  <dcterms:modified xsi:type="dcterms:W3CDTF">2025-05-13T14:16:37Z</dcterms:modified>
</cp:coreProperties>
</file>